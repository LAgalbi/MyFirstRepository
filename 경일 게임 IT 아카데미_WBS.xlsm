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GA-유치훈\Downloads\"/>
    </mc:Choice>
  </mc:AlternateContent>
  <bookViews>
    <workbookView xWindow="0" yWindow="0" windowWidth="28800" windowHeight="12165" tabRatio="415" firstSheet="1" activeTab="1"/>
  </bookViews>
  <sheets>
    <sheet name="Ver Info." sheetId="14" state="hidden" r:id="rId1"/>
    <sheet name="Gantt" sheetId="11" r:id="rId2"/>
    <sheet name="Setting" sheetId="15" state="hidden" r:id="rId3"/>
  </sheets>
  <definedNames>
    <definedName name="_xlnm._FilterDatabase" localSheetId="1" hidden="1">Gantt!$B$7:$R$7</definedName>
    <definedName name="Actual_Duration">Gantt!$Q$7</definedName>
    <definedName name="Actual_End">Gantt!$P$7</definedName>
    <definedName name="Actual_Start">Gantt!$O$7</definedName>
    <definedName name="Arrow_Height">Setting!$H$6</definedName>
    <definedName name="BarScale">Setting!$K$4</definedName>
    <definedName name="Category">Gantt!$H$7</definedName>
    <definedName name="ChartFormat">Setting!$X$4:$X$16</definedName>
    <definedName name="ColorIndex1">Setting!$Q$4:$Q$23</definedName>
    <definedName name="ColorIndex2">Setting!$T$4:$T$23</definedName>
    <definedName name="Date">Gantt!$U$6</definedName>
    <definedName name="EndDate">Gantt!$Q$4</definedName>
    <definedName name="Header">Gantt!$B$7:$Q$7</definedName>
    <definedName name="InfoRange">Gantt!$B$8:$R$319</definedName>
    <definedName name="MileStone">Gantt!$J$7</definedName>
    <definedName name="MileStoneBar위치">Gantt!$U$3</definedName>
    <definedName name="Month">Gantt!$U$4</definedName>
    <definedName name="MS_Height">Setting!$H$5</definedName>
    <definedName name="MS_Width">Setting!$H$4</definedName>
    <definedName name="Names">Setting!$Z$4:$Z$43</definedName>
    <definedName name="Options">Setting!$D$4:$D$23</definedName>
    <definedName name="OutlineLevel">Setting!$N$4</definedName>
    <definedName name="Owner">Gantt!$I$7</definedName>
    <definedName name="Plan_Duration">Gantt!$N$7</definedName>
    <definedName name="Plan_End">Gantt!$M$7</definedName>
    <definedName name="Plan_Start">Gantt!$L$7</definedName>
    <definedName name="ProgressBarScale">Setting!$K$5</definedName>
    <definedName name="ProgressBarSetting">Setting!$H$4:$H$10</definedName>
    <definedName name="ProgressBarTextColor">Setting!$H$10</definedName>
    <definedName name="ProgressBarTextUnderLine">Setting!$H$9</definedName>
    <definedName name="ProgressRatio">Gantt!$K$7</definedName>
    <definedName name="StartDate">Gantt!$P$4</definedName>
    <definedName name="Status">Gantt!$R$7</definedName>
    <definedName name="Task">Gantt!$C$7</definedName>
    <definedName name="TaskColor">Gantt!$A$7</definedName>
    <definedName name="TextBoxHeight">Setting!$H$8</definedName>
    <definedName name="TextBoxWidth">Setting!$H$7</definedName>
    <definedName name="TimeLIne">Gantt!$U$8</definedName>
    <definedName name="TimeLineBarSetting">Setting!$K$4:$K$5</definedName>
    <definedName name="Today">Gantt!$O$4</definedName>
    <definedName name="ToTask">Gantt!$G$7</definedName>
    <definedName name="WBS">Gantt!$B$7</definedName>
    <definedName name="WBS_DataRange" localSheetId="1">OFFSET(Gantt!$B$8,0,0,COUNTA(Gantt!$B$8:$B$492)-1,1)</definedName>
    <definedName name="Week">Gantt!$U$5</definedName>
    <definedName name="프로젝트시작">#REF!(#REF!)</definedName>
    <definedName name="프로젝트종료">INDEX(#REF!,MIN(ROW(data))+ROWS(data)-1,1)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4" i="11" l="1"/>
  <c r="R8" i="11" s="1"/>
  <c r="Q36" i="11" l="1"/>
  <c r="N36" i="11"/>
  <c r="Q35" i="11"/>
  <c r="N35" i="11"/>
  <c r="Q34" i="11"/>
  <c r="N34" i="11"/>
  <c r="Q33" i="11"/>
  <c r="N33" i="11"/>
  <c r="Q32" i="11"/>
  <c r="N32" i="11"/>
  <c r="Q31" i="11"/>
  <c r="N31" i="11"/>
  <c r="Q30" i="11"/>
  <c r="N30" i="11"/>
  <c r="Q29" i="11"/>
  <c r="N29" i="11"/>
  <c r="Q28" i="11"/>
  <c r="N28" i="11"/>
  <c r="Q27" i="11"/>
  <c r="N27" i="11"/>
  <c r="Q26" i="11"/>
  <c r="N26" i="11"/>
  <c r="Q25" i="11"/>
  <c r="N25" i="11"/>
  <c r="N24" i="11"/>
  <c r="N23" i="11"/>
  <c r="N22" i="11"/>
  <c r="Q21" i="11"/>
  <c r="N21" i="11"/>
  <c r="Q20" i="11"/>
  <c r="N20" i="11"/>
  <c r="Q19" i="11"/>
  <c r="N19" i="11"/>
  <c r="Q18" i="11"/>
  <c r="N18" i="11"/>
  <c r="Q17" i="11"/>
  <c r="N17" i="11"/>
  <c r="Q16" i="11"/>
  <c r="N16" i="11"/>
  <c r="Q15" i="11"/>
  <c r="N15" i="11"/>
  <c r="Q14" i="11"/>
  <c r="N14" i="11"/>
  <c r="Q13" i="11"/>
  <c r="N13" i="11"/>
  <c r="Q12" i="11"/>
  <c r="N12" i="11"/>
  <c r="Q11" i="11"/>
  <c r="N11" i="11"/>
  <c r="Q10" i="11"/>
  <c r="N10" i="11"/>
  <c r="Q9" i="11"/>
  <c r="N9" i="11"/>
  <c r="Q8" i="11"/>
  <c r="N8" i="11"/>
  <c r="Q22" i="11" l="1"/>
  <c r="K26" i="11"/>
  <c r="K27" i="11"/>
  <c r="K28" i="11"/>
  <c r="K30" i="11"/>
  <c r="K32" i="11"/>
  <c r="K33" i="11"/>
  <c r="K34" i="11"/>
  <c r="K35" i="11"/>
  <c r="K36" i="11"/>
  <c r="K10" i="11" l="1"/>
  <c r="K20" i="11"/>
  <c r="K14" i="11"/>
  <c r="K15" i="11"/>
  <c r="K9" i="11"/>
  <c r="K21" i="11"/>
  <c r="K22" i="11"/>
  <c r="K11" i="11"/>
  <c r="K8" i="11"/>
  <c r="K25" i="11" l="1"/>
  <c r="K31" i="11"/>
  <c r="K29" i="11"/>
  <c r="K16" i="11"/>
  <c r="K12" i="11"/>
  <c r="K13" i="11" l="1"/>
  <c r="K18" i="11"/>
  <c r="K17" i="11"/>
  <c r="K19" i="11"/>
  <c r="Q23" i="11"/>
  <c r="K23" i="11" s="1"/>
  <c r="Q24" i="11"/>
  <c r="K24" i="11" s="1"/>
  <c r="R28" i="11"/>
  <c r="R18" i="11"/>
  <c r="R26" i="11"/>
  <c r="R24" i="11"/>
  <c r="R31" i="11"/>
  <c r="R9" i="11"/>
  <c r="R34" i="11"/>
  <c r="R12" i="11"/>
  <c r="R19" i="11"/>
  <c r="R35" i="11"/>
  <c r="R33" i="11"/>
  <c r="R32" i="11"/>
  <c r="R13" i="11"/>
  <c r="R23" i="11"/>
  <c r="R22" i="11"/>
  <c r="R20" i="11"/>
  <c r="R15" i="11"/>
  <c r="R16" i="11"/>
  <c r="R14" i="11"/>
  <c r="R21" i="11"/>
  <c r="R11" i="11"/>
  <c r="R30" i="11"/>
  <c r="R29" i="11"/>
  <c r="R17" i="11"/>
  <c r="R36" i="11"/>
  <c r="R10" i="11"/>
  <c r="R27" i="11"/>
  <c r="R25" i="11"/>
</calcChain>
</file>

<file path=xl/sharedStrings.xml><?xml version="1.0" encoding="utf-8"?>
<sst xmlns="http://schemas.openxmlformats.org/spreadsheetml/2006/main" count="390" uniqueCount="348">
  <si>
    <t>On Track</t>
  </si>
  <si>
    <t>Plan</t>
    <phoneticPr fontId="6" type="noConversion"/>
  </si>
  <si>
    <t>WBS</t>
    <phoneticPr fontId="6" type="noConversion"/>
  </si>
  <si>
    <t>1</t>
  </si>
  <si>
    <t>2</t>
  </si>
  <si>
    <t>2.2</t>
  </si>
  <si>
    <t>2.3</t>
  </si>
  <si>
    <t>시작</t>
    <phoneticPr fontId="6" type="noConversion"/>
  </si>
  <si>
    <t>2.1</t>
    <phoneticPr fontId="6" type="noConversion"/>
  </si>
  <si>
    <t>3.1</t>
    <phoneticPr fontId="6" type="noConversion"/>
  </si>
  <si>
    <t>3</t>
    <phoneticPr fontId="6" type="noConversion"/>
  </si>
  <si>
    <t>3.2</t>
  </si>
  <si>
    <t>4.3</t>
  </si>
  <si>
    <t>5</t>
    <phoneticPr fontId="6" type="noConversion"/>
  </si>
  <si>
    <t>3.2.1</t>
    <phoneticPr fontId="6" type="noConversion"/>
  </si>
  <si>
    <t>3.2.2</t>
  </si>
  <si>
    <t>#</t>
    <phoneticPr fontId="6" type="noConversion"/>
  </si>
  <si>
    <t>End</t>
  </si>
  <si>
    <t>Progress</t>
    <phoneticPr fontId="6" type="noConversion"/>
  </si>
  <si>
    <t>%</t>
    <phoneticPr fontId="6" type="noConversion"/>
  </si>
  <si>
    <t>M/S width</t>
    <phoneticPr fontId="6" type="noConversion"/>
  </si>
  <si>
    <t>Arrow Height</t>
    <phoneticPr fontId="6" type="noConversion"/>
  </si>
  <si>
    <t>Time Line Bar Height Scale</t>
    <phoneticPr fontId="6" type="noConversion"/>
  </si>
  <si>
    <t>7</t>
  </si>
  <si>
    <t>Text box Height</t>
    <phoneticPr fontId="6" type="noConversion"/>
  </si>
  <si>
    <t>Text box Width</t>
    <phoneticPr fontId="6" type="noConversion"/>
  </si>
  <si>
    <t>4</t>
  </si>
  <si>
    <t>8</t>
  </si>
  <si>
    <t>M/S Height</t>
    <phoneticPr fontId="6" type="noConversion"/>
  </si>
  <si>
    <t>8.1</t>
    <phoneticPr fontId="6" type="noConversion"/>
  </si>
  <si>
    <t>8.2</t>
    <phoneticPr fontId="6" type="noConversion"/>
  </si>
  <si>
    <t>8.3</t>
  </si>
  <si>
    <t>8.4</t>
  </si>
  <si>
    <t>내용</t>
    <phoneticPr fontId="6" type="noConversion"/>
  </si>
  <si>
    <t>Ver.</t>
    <phoneticPr fontId="6" type="noConversion"/>
  </si>
  <si>
    <t>MakeTimeLine 함수 최적화
월간 자동입력
WBS에 숫자 입력시 문자로 변경</t>
    <phoneticPr fontId="6" type="noConversion"/>
  </si>
  <si>
    <t>Text Underline</t>
    <phoneticPr fontId="6" type="noConversion"/>
  </si>
  <si>
    <t>X</t>
  </si>
  <si>
    <t>Text Color with Stone</t>
    <phoneticPr fontId="6" type="noConversion"/>
  </si>
  <si>
    <t>3</t>
  </si>
  <si>
    <t>5</t>
  </si>
  <si>
    <t>8.5</t>
    <phoneticPr fontId="6" type="noConversion"/>
  </si>
  <si>
    <t>8.5.1</t>
    <phoneticPr fontId="6" type="noConversion"/>
  </si>
  <si>
    <t>8.5.1.1</t>
    <phoneticPr fontId="6" type="noConversion"/>
  </si>
  <si>
    <t>8.5.1.2</t>
  </si>
  <si>
    <t>8.5.1.2.1</t>
    <phoneticPr fontId="6" type="noConversion"/>
  </si>
  <si>
    <t>8.5.1.2.2</t>
  </si>
  <si>
    <t>업무</t>
    <phoneticPr fontId="6" type="noConversion"/>
  </si>
  <si>
    <t>카테고리</t>
    <phoneticPr fontId="6" type="noConversion"/>
  </si>
  <si>
    <t>담당자</t>
    <phoneticPr fontId="6" type="noConversion"/>
  </si>
  <si>
    <t>중요시점</t>
    <phoneticPr fontId="6" type="noConversion"/>
  </si>
  <si>
    <t>진행율</t>
    <phoneticPr fontId="6" type="noConversion"/>
  </si>
  <si>
    <t>계획</t>
    <phoneticPr fontId="6" type="noConversion"/>
  </si>
  <si>
    <t>실행</t>
    <phoneticPr fontId="6" type="noConversion"/>
  </si>
  <si>
    <t>종료</t>
    <phoneticPr fontId="6" type="noConversion"/>
  </si>
  <si>
    <t>소요</t>
    <phoneticPr fontId="6" type="noConversion"/>
  </si>
  <si>
    <t>Large Progress Bar</t>
  </si>
  <si>
    <t>Option</t>
    <phoneticPr fontId="6" type="noConversion"/>
  </si>
  <si>
    <t>Draw Option(1,2,3)</t>
    <phoneticPr fontId="6" type="noConversion"/>
  </si>
  <si>
    <t>세부 내용1</t>
    <phoneticPr fontId="6" type="noConversion"/>
  </si>
  <si>
    <t>세부 내용2</t>
  </si>
  <si>
    <t>세부 내용3</t>
  </si>
  <si>
    <t>선행업무</t>
    <phoneticPr fontId="6" type="noConversion"/>
  </si>
  <si>
    <t>6</t>
  </si>
  <si>
    <t>Start</t>
  </si>
  <si>
    <t>1. 선행업무로 변경 : 완료
2. 타임라인 차트에서 마일스톤 에러 해결 : 완료
    날짜범위 밖에 타임라인은 나타나지 않게 변경 : 완료
3. 연결선 에러 수정 : 계획일자가 시작날짜보다 앞에 있을 경우 에러 발생</t>
    <phoneticPr fontId="6" type="noConversion"/>
  </si>
  <si>
    <t>Start</t>
    <phoneticPr fontId="6" type="noConversion"/>
  </si>
  <si>
    <t>Today</t>
    <phoneticPr fontId="6" type="noConversion"/>
  </si>
  <si>
    <t>End</t>
    <phoneticPr fontId="6" type="noConversion"/>
  </si>
  <si>
    <t>2.1</t>
  </si>
  <si>
    <t>Current Status</t>
    <phoneticPr fontId="6" type="noConversion"/>
  </si>
  <si>
    <t>Outline level</t>
    <phoneticPr fontId="6" type="noConversion"/>
  </si>
  <si>
    <t>1. 각 기능별 함수 분리 작업
2. '소요일이 1일이면서 마일스톤이 있을 경우 타임라인 안보이기</t>
    <phoneticPr fontId="6" type="noConversion"/>
  </si>
  <si>
    <t>연결선</t>
    <phoneticPr fontId="6" type="noConversion"/>
  </si>
  <si>
    <t>업무명 코멘트</t>
    <phoneticPr fontId="6" type="noConversion"/>
  </si>
  <si>
    <t>조건부서식 확인</t>
    <phoneticPr fontId="6" type="noConversion"/>
  </si>
  <si>
    <t>WBS 그룹핑</t>
    <phoneticPr fontId="6" type="noConversion"/>
  </si>
  <si>
    <t>마일스톤 추가</t>
    <phoneticPr fontId="6" type="noConversion"/>
  </si>
  <si>
    <t>실시간 업데이트</t>
    <phoneticPr fontId="6" type="noConversion"/>
  </si>
  <si>
    <t>담당자 코멘트</t>
    <phoneticPr fontId="6" type="noConversion"/>
  </si>
  <si>
    <t>타임라인 차트 작성</t>
    <phoneticPr fontId="6" type="noConversion"/>
  </si>
  <si>
    <t>상부요약 차트 작성</t>
    <phoneticPr fontId="6" type="noConversion"/>
  </si>
  <si>
    <t>소요1일일 경우 타임라인 그리지 않기</t>
    <phoneticPr fontId="6" type="noConversion"/>
  </si>
  <si>
    <r>
      <t xml:space="preserve">1. 타임라인바 끝선과 마일스톤 끝선을 얼라인
</t>
    </r>
    <r>
      <rPr>
        <sz val="11"/>
        <color theme="0" tint="-0.14999847407452621"/>
        <rFont val="맑은 고딕"/>
        <family val="3"/>
        <charset val="129"/>
        <scheme val="minor"/>
      </rPr>
      <t>2. 마일스톤이 있을 경우 연결선을 마일스톤으로 연결</t>
    </r>
    <phoneticPr fontId="6" type="noConversion"/>
  </si>
  <si>
    <t>기본 타임라인 서식 적용(지연, 완료 구분안함)</t>
    <phoneticPr fontId="6" type="noConversion"/>
  </si>
  <si>
    <t>진행률 코멘트</t>
    <phoneticPr fontId="6" type="noConversion"/>
  </si>
  <si>
    <t>WBS 코멘트</t>
    <phoneticPr fontId="6" type="noConversion"/>
  </si>
  <si>
    <t>조건부 서식 확인</t>
    <phoneticPr fontId="6" type="noConversion"/>
  </si>
  <si>
    <t>조건부서식 확인 -계획</t>
    <phoneticPr fontId="6" type="noConversion"/>
  </si>
  <si>
    <t>조건부서식 확인 -실행</t>
    <phoneticPr fontId="6" type="noConversion"/>
  </si>
  <si>
    <t>Vivid</t>
    <phoneticPr fontId="6" type="noConversion"/>
  </si>
  <si>
    <t>Code</t>
    <phoneticPr fontId="6" type="noConversion"/>
  </si>
  <si>
    <t>Pastel</t>
    <phoneticPr fontId="6" type="noConversion"/>
  </si>
  <si>
    <t>1180AE</t>
  </si>
  <si>
    <t>E0BBE4</t>
  </si>
  <si>
    <t>FCB239</t>
  </si>
  <si>
    <t>957DAD</t>
  </si>
  <si>
    <t>91487E</t>
    <phoneticPr fontId="6" type="noConversion"/>
  </si>
  <si>
    <t>AC2443</t>
    <phoneticPr fontId="6" type="noConversion"/>
  </si>
  <si>
    <t>FEC8D8</t>
    <phoneticPr fontId="6" type="noConversion"/>
  </si>
  <si>
    <t>9DC8C8</t>
  </si>
  <si>
    <t>FFDFD3</t>
  </si>
  <si>
    <t>58C9B9</t>
    <phoneticPr fontId="6" type="noConversion"/>
  </si>
  <si>
    <t>B29DB6</t>
    <phoneticPr fontId="6" type="noConversion"/>
  </si>
  <si>
    <t>519D9E</t>
  </si>
  <si>
    <t>D6D6D6</t>
  </si>
  <si>
    <t>1f4e5f</t>
  </si>
  <si>
    <t>ABC3CE</t>
  </si>
  <si>
    <t>5CAB7D</t>
  </si>
  <si>
    <t>C5AEB4</t>
  </si>
  <si>
    <t>5A9367</t>
  </si>
  <si>
    <t>7B8FA5</t>
  </si>
  <si>
    <t>44633F</t>
  </si>
  <si>
    <t>99B49F</t>
  </si>
  <si>
    <t>3F4B3B</t>
  </si>
  <si>
    <t>A3D6D4</t>
  </si>
  <si>
    <t>639BC1</t>
  </si>
  <si>
    <t>F1E9CB</t>
  </si>
  <si>
    <t>89A7C2</t>
  </si>
  <si>
    <t>C2D5A7</t>
  </si>
  <si>
    <t>3F6148</t>
  </si>
  <si>
    <t>B0ABCA</t>
  </si>
  <si>
    <t>8AAD05</t>
  </si>
  <si>
    <t>E2A9BE</t>
  </si>
  <si>
    <t>E1C6AC</t>
  </si>
  <si>
    <t>D7AE04</t>
  </si>
  <si>
    <t>8DA290</t>
  </si>
  <si>
    <t>EBAD30</t>
  </si>
  <si>
    <t>BEC7B4</t>
  </si>
  <si>
    <t>E07B42</t>
  </si>
  <si>
    <t>DEE2D9</t>
  </si>
  <si>
    <t>상태</t>
    <phoneticPr fontId="6" type="noConversion"/>
  </si>
  <si>
    <t>WBS Color Style(1:vivid, 2:pastel)</t>
    <phoneticPr fontId="6" type="noConversion"/>
  </si>
  <si>
    <t>2.6.1</t>
    <phoneticPr fontId="6" type="noConversion"/>
  </si>
  <si>
    <t>일별 그리기 :1, 주별 그리기 :2</t>
    <phoneticPr fontId="6" type="noConversion"/>
  </si>
  <si>
    <t>1. 주차별 보기(마일스톤, 타임라인차트는 아직 안됨)</t>
    <phoneticPr fontId="6" type="noConversion"/>
  </si>
  <si>
    <t>2.6.4</t>
    <phoneticPr fontId="6" type="noConversion"/>
  </si>
  <si>
    <t>1. 주차별 보기를 열너비 축소하는 것으로 변경</t>
    <phoneticPr fontId="6" type="noConversion"/>
  </si>
  <si>
    <t>도형 첨자</t>
    <phoneticPr fontId="6" type="noConversion"/>
  </si>
  <si>
    <t>타임라인 영역</t>
    <phoneticPr fontId="6" type="noConversion"/>
  </si>
  <si>
    <t>마일스톤-시점</t>
    <phoneticPr fontId="6" type="noConversion"/>
  </si>
  <si>
    <t>TL+WBS</t>
    <phoneticPr fontId="6" type="noConversion"/>
  </si>
  <si>
    <t>MS_S+WBS</t>
    <phoneticPr fontId="6" type="noConversion"/>
  </si>
  <si>
    <t>마일스톤-종점</t>
    <phoneticPr fontId="6" type="noConversion"/>
  </si>
  <si>
    <t>MS_E+WBS</t>
    <phoneticPr fontId="6" type="noConversion"/>
  </si>
  <si>
    <t>타임라인 요약</t>
    <phoneticPr fontId="6" type="noConversion"/>
  </si>
  <si>
    <t>타임라인-계획</t>
    <phoneticPr fontId="6" type="noConversion"/>
  </si>
  <si>
    <t>타임라인-실행</t>
    <phoneticPr fontId="6" type="noConversion"/>
  </si>
  <si>
    <t>영역</t>
    <phoneticPr fontId="6" type="noConversion"/>
  </si>
  <si>
    <t>도형종류</t>
    <phoneticPr fontId="6" type="noConversion"/>
  </si>
  <si>
    <t>첨자</t>
    <phoneticPr fontId="6" type="noConversion"/>
  </si>
  <si>
    <t>TB_+WBS</t>
    <phoneticPr fontId="6" type="noConversion"/>
  </si>
  <si>
    <t>TL_A_+WBS</t>
    <phoneticPr fontId="6" type="noConversion"/>
  </si>
  <si>
    <t>CL_+WBS</t>
    <phoneticPr fontId="6" type="noConversion"/>
  </si>
  <si>
    <t>CL2_+WBS</t>
  </si>
  <si>
    <t>텍스트 상자</t>
    <phoneticPr fontId="6" type="noConversion"/>
  </si>
  <si>
    <t>마일스톤-시점</t>
  </si>
  <si>
    <t>MS2_S_+WBS</t>
  </si>
  <si>
    <t>마일스톤-종점</t>
  </si>
  <si>
    <t>MS2_E_+WBS</t>
  </si>
  <si>
    <t>연결선</t>
  </si>
  <si>
    <t>NO</t>
    <phoneticPr fontId="6" type="noConversion"/>
  </si>
  <si>
    <t>확인</t>
    <phoneticPr fontId="6" type="noConversion"/>
  </si>
  <si>
    <t>Both</t>
  </si>
  <si>
    <t>0ABFB4</t>
  </si>
  <si>
    <t>FFAC09</t>
  </si>
  <si>
    <t>FD8863</t>
  </si>
  <si>
    <t>A4ADB6</t>
  </si>
  <si>
    <t>FF913A</t>
  </si>
  <si>
    <t>5DB9D9</t>
  </si>
  <si>
    <t>38D1DF</t>
  </si>
  <si>
    <t>BFCFD7</t>
  </si>
  <si>
    <t>2.6.7</t>
    <phoneticPr fontId="6" type="noConversion"/>
  </si>
  <si>
    <t>1. 실행속도 최적화(코드 개선)</t>
    <phoneticPr fontId="6" type="noConversion"/>
  </si>
  <si>
    <t>2.6.8</t>
    <phoneticPr fontId="6" type="noConversion"/>
  </si>
  <si>
    <t>8.5.1</t>
  </si>
  <si>
    <t>8.5.1.1</t>
  </si>
  <si>
    <t>1. 전체 초기화시 타임라인차트 화살표 삭제(O)
2. 계획 바 안쪽으로 0.2 조정(O)
3. 실행 바 안쪽으로 0.2 조정(O)
4. 연결선용 타임라인 도형 생성(O)
5. WBS별 타임라인 그리기 for 루프 --&gt; 직접계산으로 변경(O)
6. 코드에만 있는 세팅값 폼으로 옮기기
7. 에러체크 함수(O)</t>
    <phoneticPr fontId="6" type="noConversion"/>
  </si>
  <si>
    <t>Actual_Duration</t>
    <phoneticPr fontId="6" type="noConversion"/>
  </si>
  <si>
    <t>Actual_End</t>
    <phoneticPr fontId="6" type="noConversion"/>
  </si>
  <si>
    <t>Actual_Start</t>
    <phoneticPr fontId="6" type="noConversion"/>
  </si>
  <si>
    <t>Arrow_Height</t>
    <phoneticPr fontId="6" type="noConversion"/>
  </si>
  <si>
    <t>BarScale</t>
    <phoneticPr fontId="6" type="noConversion"/>
  </si>
  <si>
    <t>Category</t>
    <phoneticPr fontId="6" type="noConversion"/>
  </si>
  <si>
    <t>ColorIndex1</t>
    <phoneticPr fontId="6" type="noConversion"/>
  </si>
  <si>
    <t>ColorIndex2</t>
    <phoneticPr fontId="6" type="noConversion"/>
  </si>
  <si>
    <t>Date</t>
    <phoneticPr fontId="6" type="noConversion"/>
  </si>
  <si>
    <t>EndDate</t>
    <phoneticPr fontId="6" type="noConversion"/>
  </si>
  <si>
    <t>Header</t>
    <phoneticPr fontId="6" type="noConversion"/>
  </si>
  <si>
    <t>InfoRange</t>
    <phoneticPr fontId="6" type="noConversion"/>
  </si>
  <si>
    <t>MileStone</t>
    <phoneticPr fontId="6" type="noConversion"/>
  </si>
  <si>
    <t>MileStoneBar위치</t>
    <phoneticPr fontId="6" type="noConversion"/>
  </si>
  <si>
    <t>Month</t>
    <phoneticPr fontId="6" type="noConversion"/>
  </si>
  <si>
    <t>MS_Height</t>
    <phoneticPr fontId="6" type="noConversion"/>
  </si>
  <si>
    <t>MS_Width</t>
    <phoneticPr fontId="6" type="noConversion"/>
  </si>
  <si>
    <t>Options</t>
    <phoneticPr fontId="6" type="noConversion"/>
  </si>
  <si>
    <t>OutlineLevel</t>
    <phoneticPr fontId="6" type="noConversion"/>
  </si>
  <si>
    <t>Owner</t>
    <phoneticPr fontId="6" type="noConversion"/>
  </si>
  <si>
    <t>Plan_Duration</t>
    <phoneticPr fontId="6" type="noConversion"/>
  </si>
  <si>
    <t>Plan_End</t>
    <phoneticPr fontId="6" type="noConversion"/>
  </si>
  <si>
    <t>Plan_Start</t>
    <phoneticPr fontId="6" type="noConversion"/>
  </si>
  <si>
    <t>ProgressBarScale</t>
    <phoneticPr fontId="6" type="noConversion"/>
  </si>
  <si>
    <t>ProgressBarSetting</t>
    <phoneticPr fontId="6" type="noConversion"/>
  </si>
  <si>
    <t>ProgressBarTextColor</t>
    <phoneticPr fontId="6" type="noConversion"/>
  </si>
  <si>
    <t>ProgressBarTextUnderLine</t>
    <phoneticPr fontId="6" type="noConversion"/>
  </si>
  <si>
    <t>ProgressRatio</t>
    <phoneticPr fontId="6" type="noConversion"/>
  </si>
  <si>
    <t>StartDate</t>
    <phoneticPr fontId="6" type="noConversion"/>
  </si>
  <si>
    <t>Status</t>
    <phoneticPr fontId="6" type="noConversion"/>
  </si>
  <si>
    <t>Task</t>
    <phoneticPr fontId="6" type="noConversion"/>
  </si>
  <si>
    <t>TaskColor</t>
    <phoneticPr fontId="6" type="noConversion"/>
  </si>
  <si>
    <t>TextBoxHeight</t>
    <phoneticPr fontId="6" type="noConversion"/>
  </si>
  <si>
    <t>TextBoxWidth</t>
    <phoneticPr fontId="6" type="noConversion"/>
  </si>
  <si>
    <t>TimeLIne</t>
    <phoneticPr fontId="6" type="noConversion"/>
  </si>
  <si>
    <t>TimeLineBarSetting</t>
    <phoneticPr fontId="6" type="noConversion"/>
  </si>
  <si>
    <t>ToTask</t>
    <phoneticPr fontId="6" type="noConversion"/>
  </si>
  <si>
    <t>4.2</t>
    <phoneticPr fontId="6" type="noConversion"/>
  </si>
  <si>
    <t>4.3</t>
    <phoneticPr fontId="6" type="noConversion"/>
  </si>
  <si>
    <t>4.4</t>
    <phoneticPr fontId="6" type="noConversion"/>
  </si>
  <si>
    <t>4.5</t>
    <phoneticPr fontId="6" type="noConversion"/>
  </si>
  <si>
    <t>Week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</si>
  <si>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</si>
  <si>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</si>
  <si>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</si>
  <si>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</si>
  <si>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</si>
  <si>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</si>
  <si>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</si>
  <si>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</si>
  <si>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</si>
  <si>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</si>
  <si>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</si>
  <si>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</si>
  <si>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</si>
  <si>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</si>
  <si>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</si>
  <si>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</si>
  <si>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</si>
  <si>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</si>
  <si>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</si>
  <si>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</si>
  <si>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</si>
  <si>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</si>
  <si>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</si>
  <si>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</si>
  <si>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</si>
  <si>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</si>
  <si>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</si>
  <si>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</si>
  <si>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</si>
  <si>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</si>
  <si>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</si>
  <si>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</si>
  <si>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</si>
  <si>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</si>
  <si>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</si>
  <si>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</si>
  <si>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</si>
  <si>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</si>
  <si>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</si>
  <si>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</si>
  <si>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</si>
  <si>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</si>
  <si>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</si>
  <si>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</si>
  <si>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</si>
  <si>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W53</t>
  </si>
  <si>
    <t xml:space="preserve"> --- 1 /시작 / /8.1% </t>
  </si>
  <si>
    <t xml:space="preserve"> --- 2 /자체 평가 / /125.0% </t>
  </si>
  <si>
    <t xml:space="preserve"> --- 2.1 /사업 전망 조사 / /100.0% </t>
  </si>
  <si>
    <t xml:space="preserve"> --- 2.2 /가용 기술, 정보, 지원 확인 / /100.0% </t>
  </si>
  <si>
    <t xml:space="preserve"> --- 2.3 /확인 / /200.0% </t>
  </si>
  <si>
    <t xml:space="preserve"> --- 3 /시장조사 / /80.0% </t>
  </si>
  <si>
    <t xml:space="preserve"> --- 3.1 /dddddd / /100.0% </t>
  </si>
  <si>
    <t xml:space="preserve"> --- 3.2 /관련 업계 소유주 면담 / /71.4% </t>
  </si>
  <si>
    <t xml:space="preserve"> --- 3.2.1 /필요 자원 확인 / /60.0% </t>
  </si>
  <si>
    <t xml:space="preserve"> --- 3.2.2 /dddddd / /57.1% </t>
  </si>
  <si>
    <t xml:space="preserve"> --- 4 /사업 방식 평가 / /200.0% </t>
  </si>
  <si>
    <t xml:space="preserve"> --- 4.2 /dddd / /200.0% </t>
  </si>
  <si>
    <t xml:space="preserve"> --- 4.3 /기존 업체 인수 가능성 검토 / /100.0% </t>
  </si>
  <si>
    <t xml:space="preserve"> --- 4.4 /프랜차이즈 방식 검토 / /100.0% </t>
  </si>
  <si>
    <t xml:space="preserve"> --- 4.5 /사업 방식 요약 / /0.0% </t>
  </si>
  <si>
    <t xml:space="preserve"> --- 7 /사업성 조사 / /80.0% </t>
  </si>
  <si>
    <t xml:space="preserve"> --- 8 /시장 및 경쟁력 조사 / /500.0% </t>
  </si>
  <si>
    <t xml:space="preserve"> --- 8.1 /관련 업계 소유주 면담 / /14.3% </t>
  </si>
  <si>
    <t xml:space="preserve"> --- 8.2 /필요 자원 확인 / /20.0% </t>
  </si>
  <si>
    <t xml:space="preserve"> --- 8.3 /운영 비용 요소 확인 / /18.2% </t>
  </si>
  <si>
    <t xml:space="preserve"> --- 8.4 /사업 방식 평가 / /100.0% </t>
  </si>
  <si>
    <t xml:space="preserve"> --- 8.5 /신규 법인 설립 요건 정의 / /50.0% </t>
  </si>
  <si>
    <t xml:space="preserve"> --- 8.5.1 /기존 업체 인수 가능성 검토 / /600.0% </t>
  </si>
  <si>
    <t xml:space="preserve"> --- 8.5.1.1 /프랜차이즈 방식 검토 / /200.0% </t>
  </si>
  <si>
    <t xml:space="preserve"> --- 8.5.1.2 /사업 방식 요약 / /800.0% </t>
  </si>
  <si>
    <t xml:space="preserve"> --- 8.5.1.2.1 /처음부터 다시 고민 / /266.7% </t>
  </si>
  <si>
    <t xml:space="preserve"> --- 8.5.1.2.2 /끝 / /133.3% </t>
  </si>
  <si>
    <t>Month Fill1</t>
    <phoneticPr fontId="6" type="noConversion"/>
  </si>
  <si>
    <t>Month Fill2</t>
    <phoneticPr fontId="6" type="noConversion"/>
  </si>
  <si>
    <t>Month Line</t>
    <phoneticPr fontId="6" type="noConversion"/>
  </si>
  <si>
    <t>Week Fill</t>
    <phoneticPr fontId="6" type="noConversion"/>
  </si>
  <si>
    <t>Weekend Font</t>
    <phoneticPr fontId="6" type="noConversion"/>
  </si>
  <si>
    <t>Level1 Font</t>
    <phoneticPr fontId="6" type="noConversion"/>
  </si>
  <si>
    <t>Status Ongoing</t>
    <phoneticPr fontId="6" type="noConversion"/>
  </si>
  <si>
    <t>Status Delay</t>
    <phoneticPr fontId="6" type="noConversion"/>
  </si>
  <si>
    <t>Status Complete</t>
    <phoneticPr fontId="6" type="noConversion"/>
  </si>
  <si>
    <t>Status Coming</t>
    <phoneticPr fontId="6" type="noConversion"/>
  </si>
  <si>
    <t>Item</t>
    <phoneticPr fontId="6" type="noConversion"/>
  </si>
  <si>
    <t>Color</t>
    <phoneticPr fontId="6" type="noConversion"/>
  </si>
  <si>
    <t>Sunday</t>
    <phoneticPr fontId="6" type="noConversion"/>
  </si>
  <si>
    <t>Level1</t>
    <phoneticPr fontId="6" type="noConversion"/>
  </si>
  <si>
    <t>Level1 Upper Line</t>
    <phoneticPr fontId="6" type="noConversion"/>
  </si>
  <si>
    <t>Level Line</t>
    <phoneticPr fontId="6" type="noConversion"/>
  </si>
  <si>
    <t>On Going</t>
    <phoneticPr fontId="6" type="noConversion"/>
  </si>
  <si>
    <t>Delay</t>
    <phoneticPr fontId="6" type="noConversion"/>
  </si>
  <si>
    <t>Complete</t>
    <phoneticPr fontId="6" type="noConversion"/>
  </si>
  <si>
    <t>Coming</t>
    <phoneticPr fontId="6" type="noConversion"/>
  </si>
  <si>
    <t>Names</t>
    <phoneticPr fontId="6" type="noConversion"/>
  </si>
  <si>
    <t>W14</t>
  </si>
  <si>
    <t>W15</t>
  </si>
  <si>
    <t>W16</t>
  </si>
  <si>
    <t>January</t>
  </si>
  <si>
    <t>W1</t>
  </si>
  <si>
    <t>W2</t>
  </si>
  <si>
    <t>W3</t>
  </si>
  <si>
    <t>W4</t>
  </si>
  <si>
    <t>W5</t>
  </si>
  <si>
    <t xml:space="preserve"> --- 5 /처음부터 다시 고민 / /11005.6% </t>
  </si>
  <si>
    <t xml:space="preserve"> --- 6 /끝 / /28585.7% </t>
  </si>
  <si>
    <t>경일 게임 IT 아카데미 기획 3기</t>
    <phoneticPr fontId="6" type="noConversion"/>
  </si>
  <si>
    <t>구상</t>
    <phoneticPr fontId="6" type="noConversion"/>
  </si>
  <si>
    <t>기획</t>
    <phoneticPr fontId="6" type="noConversion"/>
  </si>
  <si>
    <t>컨셉 구상</t>
    <phoneticPr fontId="6" type="noConversion"/>
  </si>
  <si>
    <t>브레인 스토밍</t>
    <phoneticPr fontId="6" type="noConversion"/>
  </si>
  <si>
    <t>프로토타이핑</t>
    <phoneticPr fontId="6" type="noConversion"/>
  </si>
  <si>
    <t>룰북 작성</t>
    <phoneticPr fontId="6" type="noConversion"/>
  </si>
  <si>
    <t>페이퍼프로토타입제작</t>
    <phoneticPr fontId="6" type="noConversion"/>
  </si>
  <si>
    <t>가나다</t>
    <phoneticPr fontId="6" type="noConversion"/>
  </si>
  <si>
    <t>다라마</t>
    <phoneticPr fontId="6" type="noConversion"/>
  </si>
  <si>
    <t>프로그램</t>
    <phoneticPr fontId="6" type="noConversion"/>
  </si>
  <si>
    <t>ㅇㅇㅇ</t>
    <phoneticPr fontId="6" type="noConversion"/>
  </si>
  <si>
    <t>ㅇㅇㅇ</t>
    <phoneticPr fontId="6" type="noConversion"/>
  </si>
  <si>
    <t>ㅇㅇㅇ</t>
    <phoneticPr fontId="6" type="noConversion"/>
  </si>
  <si>
    <t>아트</t>
    <phoneticPr fontId="6" type="noConversion"/>
  </si>
  <si>
    <t>ㅇㅇㅇ</t>
    <phoneticPr fontId="6" type="noConversion"/>
  </si>
  <si>
    <t>사운드</t>
    <phoneticPr fontId="6" type="noConversion"/>
  </si>
  <si>
    <t>QA</t>
    <phoneticPr fontId="6" type="noConversion"/>
  </si>
  <si>
    <t>ㅇㅇㅇ</t>
    <phoneticPr fontId="6" type="noConversion"/>
  </si>
  <si>
    <t>ㅇㅇㅇ</t>
    <phoneticPr fontId="6" type="noConversion"/>
  </si>
  <si>
    <t>ㅇㅇㅇ</t>
    <phoneticPr fontId="6" type="noConversion"/>
  </si>
  <si>
    <t>ㅇㅇㅇ</t>
    <phoneticPr fontId="6" type="noConversion"/>
  </si>
  <si>
    <t>ㅇㅇㅇ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</si>
</sst>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.00_);_(* \(#,##0.00\);_(* &quot;-&quot;??_);_(@_)"/>
    <numFmt numFmtId="177" formatCode="mm\/dd"/>
    <numFmt numFmtId="178" formatCode="0_);[Red]\(0\)"/>
    <numFmt numFmtId="179" formatCode="0_ "/>
    <numFmt numFmtId="180" formatCode="dd"/>
    <numFmt numFmtId="181" formatCode="aaa"/>
    <numFmt numFmtId="182" formatCode="_-_-_-_-@"/>
    <numFmt numFmtId="183" formatCode="_-_-_-_-_-_-_-_-@"/>
    <numFmt numFmtId="184" formatCode="_-_-_-_-_-_-_-_-_-_-_-_-@"/>
    <numFmt numFmtId="185" formatCode="_-_-_-_-_-_-_-_-_-_-_-_-_-_-_-_-@"/>
    <numFmt numFmtId="186" formatCode="_-_-_-_-_-_-_-_-_-_-_-_-_-_-_-_-_-_-_-_-@"/>
  </numFmts>
  <fonts count="61">
    <font>
      <sz val="11"/>
      <color theme="1"/>
      <name val="맑은 고딕"/>
      <family val="2"/>
      <scheme val="minor"/>
    </font>
    <font>
      <u/>
      <sz val="11"/>
      <color indexed="12"/>
      <name val="Arial"/>
      <family val="2"/>
    </font>
    <font>
      <sz val="11"/>
      <color theme="1"/>
      <name val="맑은 고딕"/>
      <family val="2"/>
      <scheme val="minor"/>
    </font>
    <font>
      <sz val="14"/>
      <color theme="1"/>
      <name val="맑은 고딕"/>
      <family val="2"/>
      <scheme val="minor"/>
    </font>
    <font>
      <b/>
      <sz val="22"/>
      <color theme="1" tint="0.34998626667073579"/>
      <name val="맑은 고딕"/>
      <family val="2"/>
      <scheme val="major"/>
    </font>
    <font>
      <sz val="11"/>
      <color theme="0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42"/>
      <color theme="7"/>
      <name val="맑은 고딕"/>
      <family val="2"/>
      <scheme val="major"/>
    </font>
    <font>
      <sz val="11"/>
      <color theme="1" tint="0.24994659260841701"/>
      <name val="맑은 고딕"/>
      <family val="2"/>
      <scheme val="major"/>
    </font>
    <font>
      <i/>
      <sz val="11"/>
      <color theme="7"/>
      <name val="맑은 고딕"/>
      <family val="2"/>
      <scheme val="minor"/>
    </font>
    <font>
      <b/>
      <sz val="11"/>
      <color theme="1" tint="0.24994659260841701"/>
      <name val="맑은 고딕"/>
      <family val="2"/>
      <scheme val="minor"/>
    </font>
    <font>
      <sz val="12"/>
      <color theme="1" tint="0.24994659260841701"/>
      <name val="맑은 고딕"/>
      <family val="2"/>
      <scheme val="major"/>
    </font>
    <font>
      <sz val="14"/>
      <color theme="1" tint="0.24994659260841701"/>
      <name val="맑은 고딕"/>
      <family val="2"/>
      <scheme val="minor"/>
    </font>
    <font>
      <b/>
      <sz val="11"/>
      <color theme="1" tint="0.34998626667073579"/>
      <name val="맑은 고딕"/>
      <family val="2"/>
      <scheme val="minor"/>
    </font>
    <font>
      <b/>
      <sz val="13"/>
      <color theme="1" tint="0.24994659260841701"/>
      <name val="맑은 고딕"/>
      <family val="2"/>
      <scheme val="major"/>
    </font>
    <font>
      <b/>
      <sz val="13"/>
      <color theme="7"/>
      <name val="맑은 고딕"/>
      <family val="2"/>
      <scheme val="major"/>
    </font>
    <font>
      <sz val="9"/>
      <color rgb="FF000000"/>
      <name val="Malgun Gothic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3" tint="-0.2499465926084170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36"/>
      <color theme="1" tint="0.34998626667073579"/>
      <name val="맑은 고딕"/>
      <family val="3"/>
      <charset val="129"/>
      <scheme val="major"/>
    </font>
    <font>
      <b/>
      <sz val="28"/>
      <color theme="0"/>
      <name val="Malgun Gothic"/>
      <family val="2"/>
    </font>
    <font>
      <sz val="11"/>
      <color theme="1" tint="0.499984740745262"/>
      <name val="Malgun Gothic"/>
      <family val="2"/>
    </font>
    <font>
      <b/>
      <sz val="20"/>
      <color theme="3" tint="0.39994506668294322"/>
      <name val="Malgun Gothic"/>
      <family val="2"/>
    </font>
    <font>
      <b/>
      <sz val="10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b/>
      <sz val="11"/>
      <color theme="1"/>
      <name val="맑은 고딕"/>
      <family val="2"/>
      <scheme val="minor"/>
    </font>
    <font>
      <i/>
      <sz val="11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8"/>
      <color rgb="FF000000"/>
      <name val="Arial"/>
      <family val="2"/>
    </font>
    <font>
      <sz val="10"/>
      <color rgb="FF00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34998626667073579"/>
      <name val="맑은 고딕"/>
      <family val="3"/>
      <charset val="129"/>
      <scheme val="major"/>
    </font>
    <font>
      <b/>
      <u/>
      <sz val="11"/>
      <color theme="1"/>
      <name val="맑은 고딕"/>
      <family val="3"/>
      <charset val="129"/>
      <scheme val="minor"/>
    </font>
    <font>
      <b/>
      <sz val="10"/>
      <color rgb="FF007A37"/>
      <name val="맑은 고딕"/>
      <family val="3"/>
      <charset val="129"/>
      <scheme val="minor"/>
    </font>
    <font>
      <sz val="10"/>
      <color rgb="FFC00000"/>
      <name val="맑은 고딕"/>
      <family val="3"/>
      <charset val="129"/>
      <scheme val="minor"/>
    </font>
    <font>
      <sz val="10"/>
      <color theme="1" tint="0.34998626667073579"/>
      <name val="맑은 고딕"/>
      <family val="3"/>
      <charset val="129"/>
      <scheme val="major"/>
    </font>
    <font>
      <sz val="10"/>
      <color rgb="FFC0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0"/>
      <color rgb="FF109618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FF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name val="맑은 고딕"/>
      <family val="3"/>
      <charset val="129"/>
      <scheme val="minor"/>
    </font>
    <font>
      <i/>
      <sz val="10"/>
      <color rgb="FF969696"/>
      <name val="맑은 고딕"/>
      <family val="3"/>
      <charset val="129"/>
      <scheme val="minor"/>
    </font>
    <font>
      <sz val="11"/>
      <color rgb="FFC0000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1"/>
      <color theme="7" tint="-0.249977111117893"/>
      <name val="맑은 고딕"/>
      <family val="3"/>
      <charset val="129"/>
      <scheme val="minor"/>
    </font>
    <font>
      <sz val="10"/>
      <color rgb="FF000000"/>
      <name val="맑은 고딕"/>
      <family val="2"/>
      <scheme val="minor"/>
    </font>
    <font>
      <sz val="10"/>
      <color rgb="FFC00000"/>
      <name val="맑은 고딕"/>
      <family val="2"/>
      <scheme val="minor"/>
    </font>
    <font>
      <b/>
      <sz val="11"/>
      <color theme="3" tint="-0.2499465926084170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i/>
      <sz val="10"/>
      <color rgb="FF969696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66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1180AE"/>
        <bgColor indexed="64"/>
      </patternFill>
    </fill>
    <fill>
      <patternFill patternType="solid">
        <fgColor rgb="FFE0BBE4"/>
        <bgColor indexed="64"/>
      </patternFill>
    </fill>
    <fill>
      <patternFill patternType="solid">
        <fgColor rgb="FFFCB239"/>
        <bgColor indexed="64"/>
      </patternFill>
    </fill>
    <fill>
      <patternFill patternType="solid">
        <fgColor rgb="FF957DAD"/>
        <bgColor indexed="64"/>
      </patternFill>
    </fill>
    <fill>
      <patternFill patternType="solid">
        <fgColor rgb="FF91487E"/>
        <bgColor indexed="64"/>
      </patternFill>
    </fill>
    <fill>
      <patternFill patternType="solid">
        <fgColor rgb="FFAC2443"/>
        <bgColor indexed="64"/>
      </patternFill>
    </fill>
    <fill>
      <patternFill patternType="solid">
        <fgColor rgb="FFFEC8D8"/>
        <bgColor indexed="64"/>
      </patternFill>
    </fill>
    <fill>
      <patternFill patternType="solid">
        <fgColor rgb="FF9DC8C8"/>
        <bgColor indexed="64"/>
      </patternFill>
    </fill>
    <fill>
      <patternFill patternType="solid">
        <fgColor rgb="FFFFDFD3"/>
        <bgColor indexed="64"/>
      </patternFill>
    </fill>
    <fill>
      <patternFill patternType="solid">
        <fgColor rgb="FF58C9B9"/>
        <bgColor indexed="64"/>
      </patternFill>
    </fill>
    <fill>
      <patternFill patternType="solid">
        <fgColor rgb="FFB29DB6"/>
        <bgColor indexed="64"/>
      </patternFill>
    </fill>
    <fill>
      <patternFill patternType="solid">
        <fgColor rgb="FF519D9E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1F4E5F"/>
        <bgColor indexed="64"/>
      </patternFill>
    </fill>
    <fill>
      <patternFill patternType="solid">
        <fgColor rgb="FFABC3CE"/>
        <bgColor indexed="64"/>
      </patternFill>
    </fill>
    <fill>
      <patternFill patternType="solid">
        <fgColor rgb="FF5CAB7D"/>
        <bgColor indexed="64"/>
      </patternFill>
    </fill>
    <fill>
      <patternFill patternType="solid">
        <fgColor rgb="FFC5AEB4"/>
        <bgColor indexed="64"/>
      </patternFill>
    </fill>
    <fill>
      <patternFill patternType="solid">
        <fgColor rgb="FF5A9367"/>
        <bgColor indexed="64"/>
      </patternFill>
    </fill>
    <fill>
      <patternFill patternType="solid">
        <fgColor rgb="FF7B8FA5"/>
        <bgColor indexed="64"/>
      </patternFill>
    </fill>
    <fill>
      <patternFill patternType="solid">
        <fgColor rgb="FF44633F"/>
        <bgColor indexed="64"/>
      </patternFill>
    </fill>
    <fill>
      <patternFill patternType="solid">
        <fgColor rgb="FF99B49F"/>
        <bgColor indexed="64"/>
      </patternFill>
    </fill>
    <fill>
      <patternFill patternType="solid">
        <fgColor rgb="FF3F4B3B"/>
        <bgColor indexed="64"/>
      </patternFill>
    </fill>
    <fill>
      <patternFill patternType="solid">
        <fgColor rgb="FFA3D6D4"/>
        <bgColor indexed="64"/>
      </patternFill>
    </fill>
    <fill>
      <patternFill patternType="solid">
        <fgColor rgb="FF639BC1"/>
        <bgColor indexed="64"/>
      </patternFill>
    </fill>
    <fill>
      <patternFill patternType="solid">
        <fgColor rgb="FFF1E9CB"/>
        <bgColor indexed="64"/>
      </patternFill>
    </fill>
    <fill>
      <patternFill patternType="solid">
        <fgColor rgb="FF89A7C2"/>
        <bgColor indexed="64"/>
      </patternFill>
    </fill>
    <fill>
      <patternFill patternType="solid">
        <fgColor rgb="FFC2D5A7"/>
        <bgColor indexed="64"/>
      </patternFill>
    </fill>
    <fill>
      <patternFill patternType="solid">
        <fgColor rgb="FF3F6148"/>
        <bgColor indexed="64"/>
      </patternFill>
    </fill>
    <fill>
      <patternFill patternType="solid">
        <fgColor rgb="FFB0ABCA"/>
        <bgColor indexed="64"/>
      </patternFill>
    </fill>
    <fill>
      <patternFill patternType="solid">
        <fgColor rgb="FF8AAD05"/>
        <bgColor indexed="64"/>
      </patternFill>
    </fill>
    <fill>
      <patternFill patternType="solid">
        <fgColor rgb="FFE2A9BE"/>
        <bgColor indexed="64"/>
      </patternFill>
    </fill>
    <fill>
      <patternFill patternType="solid">
        <fgColor rgb="FFE1C6AC"/>
        <bgColor indexed="64"/>
      </patternFill>
    </fill>
    <fill>
      <patternFill patternType="solid">
        <fgColor rgb="FFD7AE04"/>
        <bgColor indexed="64"/>
      </patternFill>
    </fill>
    <fill>
      <patternFill patternType="solid">
        <fgColor rgb="FF8DA290"/>
        <bgColor indexed="64"/>
      </patternFill>
    </fill>
    <fill>
      <patternFill patternType="solid">
        <fgColor rgb="FFEBAD30"/>
        <bgColor indexed="64"/>
      </patternFill>
    </fill>
    <fill>
      <patternFill patternType="solid">
        <fgColor rgb="FFBEC7B4"/>
        <bgColor indexed="64"/>
      </patternFill>
    </fill>
    <fill>
      <patternFill patternType="solid">
        <fgColor rgb="FFE07B42"/>
        <bgColor indexed="64"/>
      </patternFill>
    </fill>
    <fill>
      <patternFill patternType="solid">
        <fgColor rgb="FFDEE2D9"/>
        <bgColor indexed="64"/>
      </patternFill>
    </fill>
    <fill>
      <patternFill patternType="solid">
        <fgColor rgb="FFFFAC09"/>
        <bgColor indexed="64"/>
      </patternFill>
    </fill>
    <fill>
      <patternFill patternType="solid">
        <fgColor rgb="FFFD8863"/>
        <bgColor indexed="64"/>
      </patternFill>
    </fill>
    <fill>
      <patternFill patternType="solid">
        <fgColor rgb="FFA4ADB6"/>
        <bgColor indexed="64"/>
      </patternFill>
    </fill>
    <fill>
      <patternFill patternType="solid">
        <fgColor rgb="FF0ABFB4"/>
        <bgColor indexed="64"/>
      </patternFill>
    </fill>
    <fill>
      <patternFill patternType="solid">
        <fgColor rgb="FFFF913A"/>
        <bgColor indexed="64"/>
      </patternFill>
    </fill>
    <fill>
      <patternFill patternType="solid">
        <fgColor rgb="FF5DB9D9"/>
        <bgColor indexed="64"/>
      </patternFill>
    </fill>
    <fill>
      <patternFill patternType="solid">
        <fgColor rgb="FF38D1DF"/>
        <bgColor indexed="64"/>
      </patternFill>
    </fill>
    <fill>
      <patternFill patternType="solid">
        <fgColor rgb="FFBFCFD7"/>
        <bgColor indexed="64"/>
      </patternFill>
    </fill>
    <fill>
      <patternFill patternType="solid">
        <fgColor rgb="FFE2E6EA"/>
        <bgColor indexed="64"/>
      </patternFill>
    </fill>
    <fill>
      <patternFill patternType="solid">
        <fgColor rgb="FFCFD5D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</fills>
  <borders count="3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rgb="FF808080"/>
      </right>
      <top/>
      <bottom/>
      <diagonal/>
    </border>
    <border>
      <left style="thin">
        <color rgb="FF808080"/>
      </left>
      <right/>
      <top/>
      <bottom/>
      <diagonal/>
    </border>
    <border>
      <left/>
      <right/>
      <top style="thin">
        <color rgb="FFD6DCE4"/>
      </top>
      <bottom/>
      <diagonal/>
    </border>
    <border>
      <left/>
      <right style="thin">
        <color rgb="FF808080"/>
      </right>
      <top style="thin">
        <color rgb="FFD6DCE4"/>
      </top>
      <bottom/>
      <diagonal/>
    </border>
    <border>
      <left style="thin">
        <color rgb="FF808080"/>
      </left>
      <right/>
      <top style="thin">
        <color rgb="FFD6DCE4"/>
      </top>
      <bottom/>
      <diagonal/>
    </border>
    <border>
      <left/>
      <right/>
      <top style="thin">
        <color rgb="FFF2F2F2"/>
      </top>
      <bottom/>
      <diagonal/>
    </border>
    <border>
      <left/>
      <right style="thin">
        <color rgb="FF808080"/>
      </right>
      <top style="thin">
        <color rgb="FFF2F2F2"/>
      </top>
      <bottom/>
      <diagonal/>
    </border>
    <border>
      <left style="thin">
        <color rgb="FF808080"/>
      </left>
      <right/>
      <top style="thin">
        <color rgb="FFF2F2F2"/>
      </top>
      <bottom/>
      <diagonal/>
    </border>
  </borders>
  <cellStyleXfs count="39">
    <xf numFmtId="0" fontId="0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Protection="0">
      <alignment horizontal="center" vertical="center"/>
    </xf>
    <xf numFmtId="0" fontId="5" fillId="0" borderId="0"/>
    <xf numFmtId="176" fontId="2" fillId="0" borderId="1" applyFont="0" applyFill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Alignment="0" applyProtection="0"/>
    <xf numFmtId="0" fontId="3" fillId="0" borderId="0" applyNumberFormat="0" applyFill="0" applyProtection="0">
      <alignment vertical="top"/>
    </xf>
    <xf numFmtId="0" fontId="2" fillId="0" borderId="0" applyNumberFormat="0" applyFill="0" applyProtection="0">
      <alignment horizontal="right" vertical="center" indent="1"/>
    </xf>
    <xf numFmtId="14" fontId="2" fillId="0" borderId="0" applyFont="0" applyFill="0" applyBorder="0">
      <alignment horizontal="center" vertical="center"/>
    </xf>
    <xf numFmtId="37" fontId="2" fillId="0" borderId="0" applyFont="0" applyFill="0" applyBorder="0" applyProtection="0">
      <alignment horizontal="center" vertical="center"/>
    </xf>
    <xf numFmtId="0" fontId="7" fillId="0" borderId="0" applyNumberFormat="0" applyFill="0" applyBorder="0" applyProtection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Protection="0">
      <alignment horizontal="center" vertical="center"/>
    </xf>
    <xf numFmtId="0" fontId="9" fillId="0" borderId="0" applyNumberFormat="0" applyFill="0" applyBorder="0" applyProtection="0">
      <alignment vertical="center"/>
    </xf>
    <xf numFmtId="0" fontId="10" fillId="2" borderId="2" applyNumberFormat="0" applyProtection="0">
      <alignment horizontal="left" vertical="center"/>
    </xf>
    <xf numFmtId="1" fontId="11" fillId="2" borderId="2">
      <alignment horizontal="center" vertical="center"/>
    </xf>
    <xf numFmtId="0" fontId="8" fillId="3" borderId="3" applyNumberFormat="0" applyFont="0" applyAlignment="0">
      <alignment horizontal="center"/>
    </xf>
    <xf numFmtId="0" fontId="12" fillId="0" borderId="0" applyNumberFormat="0" applyFill="0" applyBorder="0" applyProtection="0">
      <alignment horizontal="left" vertical="center"/>
    </xf>
    <xf numFmtId="0" fontId="8" fillId="4" borderId="4" applyNumberFormat="0" applyFont="0" applyAlignment="0">
      <alignment horizontal="center"/>
    </xf>
    <xf numFmtId="0" fontId="8" fillId="5" borderId="4" applyNumberFormat="0" applyFont="0" applyAlignment="0">
      <alignment horizontal="center"/>
    </xf>
    <xf numFmtId="0" fontId="8" fillId="6" borderId="4" applyNumberFormat="0" applyFont="0" applyAlignment="0">
      <alignment horizontal="center"/>
    </xf>
    <xf numFmtId="0" fontId="8" fillId="7" borderId="4" applyNumberFormat="0" applyFont="0" applyAlignment="0">
      <alignment horizontal="center"/>
    </xf>
    <xf numFmtId="0" fontId="13" fillId="0" borderId="0" applyFill="0" applyProtection="0">
      <alignment vertical="center"/>
    </xf>
    <xf numFmtId="0" fontId="13" fillId="0" borderId="0" applyFill="0" applyProtection="0">
      <alignment horizontal="center" vertical="center" wrapText="1"/>
    </xf>
    <xf numFmtId="0" fontId="13" fillId="0" borderId="0" applyFill="0" applyProtection="0">
      <alignment horizontal="left"/>
    </xf>
    <xf numFmtId="0" fontId="13" fillId="0" borderId="0" applyFill="0" applyBorder="0" applyProtection="0">
      <alignment horizontal="center" wrapText="1"/>
    </xf>
    <xf numFmtId="3" fontId="13" fillId="0" borderId="5" applyFill="0" applyProtection="0">
      <alignment horizontal="center"/>
    </xf>
    <xf numFmtId="0" fontId="14" fillId="0" borderId="0" applyFill="0" applyBorder="0" applyProtection="0">
      <alignment horizontal="left" wrapText="1"/>
    </xf>
    <xf numFmtId="9" fontId="15" fillId="0" borderId="0" applyFill="0" applyBorder="0" applyProtection="0">
      <alignment horizontal="center" vertical="center"/>
    </xf>
    <xf numFmtId="0" fontId="20" fillId="0" borderId="0"/>
    <xf numFmtId="0" fontId="24" fillId="9" borderId="0" applyNumberFormat="0" applyBorder="0" applyAlignment="0" applyProtection="0"/>
    <xf numFmtId="0" fontId="25" fillId="0" borderId="0">
      <alignment vertical="center" wrapText="1"/>
    </xf>
    <xf numFmtId="0" fontId="26" fillId="0" borderId="0" applyNumberFormat="0" applyFill="0" applyBorder="0" applyAlignment="0" applyProtection="0"/>
  </cellStyleXfs>
  <cellXfs count="265">
    <xf numFmtId="0" fontId="0" fillId="0" borderId="0" xfId="0"/>
    <xf numFmtId="0" fontId="40" fillId="8" borderId="10" xfId="10" applyFont="1" applyFill="1" applyBorder="1" applyAlignment="1">
      <alignment horizontal="left" vertical="center" indent="1"/>
    </xf>
    <xf numFmtId="0" fontId="31" fillId="8" borderId="10" xfId="0" applyFont="1" applyFill="1" applyBorder="1" applyAlignment="1">
      <alignment horizontal="center" vertical="center"/>
    </xf>
    <xf numFmtId="0" fontId="34" fillId="0" borderId="7" xfId="0" applyFont="1" applyFill="1" applyBorder="1" applyAlignment="1">
      <alignment horizontal="center" vertical="center" wrapText="1"/>
    </xf>
    <xf numFmtId="0" fontId="34" fillId="0" borderId="6" xfId="0" applyFont="1" applyFill="1" applyBorder="1" applyAlignment="1">
      <alignment horizontal="center" vertical="center" wrapText="1"/>
    </xf>
    <xf numFmtId="0" fontId="0" fillId="0" borderId="0" xfId="0"/>
    <xf numFmtId="0" fontId="17" fillId="0" borderId="0" xfId="0" applyFont="1"/>
    <xf numFmtId="0" fontId="0" fillId="0" borderId="0" xfId="0" applyFill="1"/>
    <xf numFmtId="0" fontId="0" fillId="0" borderId="0" xfId="0" applyAlignment="1">
      <alignment vertical="center" wrapText="1"/>
    </xf>
    <xf numFmtId="0" fontId="21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 applyFill="1"/>
    <xf numFmtId="0" fontId="0" fillId="0" borderId="0" xfId="0" applyAlignment="1">
      <alignment wrapText="1"/>
    </xf>
    <xf numFmtId="0" fontId="17" fillId="0" borderId="0" xfId="0" quotePrefix="1" applyFont="1" applyFill="1" applyBorder="1" applyAlignment="1">
      <alignment horizontal="left" vertical="center" wrapText="1"/>
    </xf>
    <xf numFmtId="0" fontId="17" fillId="0" borderId="0" xfId="0" quotePrefix="1" applyFont="1" applyFill="1" applyBorder="1" applyAlignment="1">
      <alignment vertical="center"/>
    </xf>
    <xf numFmtId="0" fontId="31" fillId="0" borderId="0" xfId="0" applyFont="1"/>
    <xf numFmtId="0" fontId="21" fillId="0" borderId="0" xfId="0" applyFont="1" applyAlignment="1">
      <alignment horizontal="left"/>
    </xf>
    <xf numFmtId="0" fontId="31" fillId="10" borderId="0" xfId="0" applyFont="1" applyFill="1"/>
    <xf numFmtId="0" fontId="32" fillId="0" borderId="0" xfId="0" applyFont="1"/>
    <xf numFmtId="0" fontId="31" fillId="11" borderId="0" xfId="0" applyFont="1" applyFill="1"/>
    <xf numFmtId="0" fontId="31" fillId="12" borderId="0" xfId="0" applyFont="1" applyFill="1"/>
    <xf numFmtId="0" fontId="31" fillId="13" borderId="0" xfId="0" applyFont="1" applyFill="1"/>
    <xf numFmtId="0" fontId="31" fillId="14" borderId="0" xfId="0" applyFont="1" applyFill="1"/>
    <xf numFmtId="0" fontId="31" fillId="15" borderId="0" xfId="0" applyFont="1" applyFill="1"/>
    <xf numFmtId="0" fontId="31" fillId="16" borderId="0" xfId="0" applyFont="1" applyFill="1"/>
    <xf numFmtId="0" fontId="31" fillId="17" borderId="0" xfId="0" applyFont="1" applyFill="1"/>
    <xf numFmtId="0" fontId="31" fillId="19" borderId="0" xfId="0" applyFont="1" applyFill="1"/>
    <xf numFmtId="0" fontId="31" fillId="22" borderId="0" xfId="0" applyFont="1" applyFill="1"/>
    <xf numFmtId="0" fontId="31" fillId="23" borderId="0" xfId="0" applyFont="1" applyFill="1"/>
    <xf numFmtId="0" fontId="31" fillId="24" borderId="0" xfId="0" applyFont="1" applyFill="1"/>
    <xf numFmtId="0" fontId="31" fillId="27" borderId="0" xfId="0" applyFont="1" applyFill="1"/>
    <xf numFmtId="0" fontId="31" fillId="30" borderId="0" xfId="0" applyFont="1" applyFill="1"/>
    <xf numFmtId="0" fontId="31" fillId="31" borderId="0" xfId="0" applyFont="1" applyFill="1"/>
    <xf numFmtId="0" fontId="31" fillId="32" borderId="0" xfId="0" applyFont="1" applyFill="1"/>
    <xf numFmtId="0" fontId="31" fillId="34" borderId="0" xfId="0" applyFont="1" applyFill="1"/>
    <xf numFmtId="0" fontId="31" fillId="36" borderId="0" xfId="0" applyFont="1" applyFill="1"/>
    <xf numFmtId="0" fontId="33" fillId="40" borderId="0" xfId="0" applyFont="1" applyFill="1"/>
    <xf numFmtId="0" fontId="33" fillId="41" borderId="0" xfId="0" applyFont="1" applyFill="1"/>
    <xf numFmtId="0" fontId="33" fillId="44" borderId="0" xfId="0" applyFont="1" applyFill="1"/>
    <xf numFmtId="0" fontId="31" fillId="47" borderId="0" xfId="0" applyFont="1" applyFill="1"/>
    <xf numFmtId="0" fontId="17" fillId="0" borderId="0" xfId="0" applyFont="1" applyFill="1" applyBorder="1"/>
    <xf numFmtId="0" fontId="17" fillId="0" borderId="0" xfId="0" applyFont="1" applyFill="1" applyBorder="1" applyAlignment="1">
      <alignment vertical="top"/>
    </xf>
    <xf numFmtId="0" fontId="31" fillId="43" borderId="0" xfId="0" applyFont="1" applyFill="1"/>
    <xf numFmtId="0" fontId="31" fillId="45" borderId="0" xfId="0" applyFont="1" applyFill="1"/>
    <xf numFmtId="0" fontId="31" fillId="26" borderId="0" xfId="0" applyFont="1" applyFill="1"/>
    <xf numFmtId="0" fontId="33" fillId="28" borderId="0" xfId="0" applyFont="1" applyFill="1"/>
    <xf numFmtId="0" fontId="31" fillId="38" borderId="0" xfId="0" applyFont="1" applyFill="1"/>
    <xf numFmtId="0" fontId="33" fillId="16" borderId="0" xfId="0" applyFont="1" applyFill="1"/>
    <xf numFmtId="0" fontId="33" fillId="18" borderId="0" xfId="0" applyFont="1" applyFill="1"/>
    <xf numFmtId="0" fontId="33" fillId="20" borderId="0" xfId="0" applyFont="1" applyFill="1"/>
    <xf numFmtId="0" fontId="0" fillId="0" borderId="0" xfId="0" applyAlignment="1">
      <alignment horizontal="center" vertical="center"/>
    </xf>
    <xf numFmtId="0" fontId="31" fillId="39" borderId="0" xfId="0" applyFont="1" applyFill="1"/>
    <xf numFmtId="0" fontId="33" fillId="21" borderId="0" xfId="0" applyFont="1" applyFill="1"/>
    <xf numFmtId="0" fontId="31" fillId="42" borderId="0" xfId="0" applyFont="1" applyFill="1"/>
    <xf numFmtId="0" fontId="31" fillId="25" borderId="0" xfId="0" applyFont="1" applyFill="1"/>
    <xf numFmtId="0" fontId="33" fillId="29" borderId="0" xfId="0" applyFont="1" applyFill="1"/>
    <xf numFmtId="0" fontId="33" fillId="33" borderId="0" xfId="0" applyFont="1" applyFill="1"/>
    <xf numFmtId="0" fontId="33" fillId="46" borderId="0" xfId="0" applyFont="1" applyFill="1"/>
    <xf numFmtId="0" fontId="33" fillId="35" borderId="0" xfId="0" applyFont="1" applyFill="1"/>
    <xf numFmtId="0" fontId="31" fillId="37" borderId="0" xfId="0" applyFont="1" applyFill="1"/>
    <xf numFmtId="0" fontId="31" fillId="8" borderId="10" xfId="0" applyFont="1" applyFill="1" applyBorder="1" applyAlignment="1">
      <alignment horizontal="left" vertical="center"/>
    </xf>
    <xf numFmtId="178" fontId="39" fillId="0" borderId="10" xfId="14" applyNumberFormat="1" applyFont="1" applyFill="1" applyBorder="1" applyAlignment="1">
      <alignment horizontal="center" vertical="center"/>
    </xf>
    <xf numFmtId="0" fontId="41" fillId="0" borderId="10" xfId="10" applyFont="1" applyFill="1" applyBorder="1" applyAlignment="1">
      <alignment horizontal="right" indent="1"/>
    </xf>
    <xf numFmtId="0" fontId="42" fillId="8" borderId="10" xfId="10" applyFont="1" applyFill="1" applyBorder="1" applyAlignment="1">
      <alignment vertical="center"/>
    </xf>
    <xf numFmtId="179" fontId="41" fillId="0" borderId="10" xfId="7" applyNumberFormat="1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vertical="center"/>
    </xf>
    <xf numFmtId="179" fontId="39" fillId="0" borderId="10" xfId="0" applyNumberFormat="1" applyFont="1" applyFill="1" applyBorder="1" applyAlignment="1">
      <alignment horizontal="center" vertical="center"/>
    </xf>
    <xf numFmtId="0" fontId="39" fillId="0" borderId="10" xfId="0" applyFont="1" applyFill="1" applyBorder="1" applyAlignment="1">
      <alignment horizontal="right" indent="1"/>
    </xf>
    <xf numFmtId="0" fontId="39" fillId="0" borderId="10" xfId="0" applyFont="1" applyFill="1" applyBorder="1" applyAlignment="1">
      <alignment horizontal="center" vertical="center"/>
    </xf>
    <xf numFmtId="0" fontId="27" fillId="0" borderId="0" xfId="0" applyFont="1"/>
    <xf numFmtId="0" fontId="39" fillId="0" borderId="10" xfId="0" applyFont="1" applyBorder="1" applyAlignment="1">
      <alignment horizontal="center" vertical="center"/>
    </xf>
    <xf numFmtId="0" fontId="31" fillId="0" borderId="11" xfId="0" applyFont="1" applyBorder="1"/>
    <xf numFmtId="0" fontId="31" fillId="0" borderId="12" xfId="0" applyFont="1" applyBorder="1"/>
    <xf numFmtId="0" fontId="31" fillId="0" borderId="13" xfId="0" applyFont="1" applyBorder="1"/>
    <xf numFmtId="0" fontId="31" fillId="0" borderId="14" xfId="0" applyFont="1" applyBorder="1"/>
    <xf numFmtId="0" fontId="31" fillId="0" borderId="15" xfId="0" applyFont="1" applyBorder="1"/>
    <xf numFmtId="0" fontId="31" fillId="0" borderId="16" xfId="0" applyFont="1" applyBorder="1"/>
    <xf numFmtId="0" fontId="31" fillId="0" borderId="17" xfId="0" applyFont="1" applyBorder="1"/>
    <xf numFmtId="0" fontId="31" fillId="0" borderId="18" xfId="0" applyFont="1" applyBorder="1"/>
    <xf numFmtId="0" fontId="31" fillId="0" borderId="19" xfId="0" applyFont="1" applyBorder="1"/>
    <xf numFmtId="0" fontId="31" fillId="0" borderId="10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31" fillId="0" borderId="18" xfId="0" applyFont="1" applyBorder="1" applyAlignment="1">
      <alignment horizontal="center"/>
    </xf>
    <xf numFmtId="0" fontId="31" fillId="0" borderId="19" xfId="0" applyFont="1" applyBorder="1" applyAlignment="1">
      <alignment horizontal="center"/>
    </xf>
    <xf numFmtId="0" fontId="29" fillId="0" borderId="0" xfId="1" quotePrefix="1" applyFill="1" applyBorder="1" applyAlignment="1">
      <alignment horizontal="left" vertical="center" wrapText="1"/>
    </xf>
    <xf numFmtId="0" fontId="30" fillId="0" borderId="0" xfId="2" quotePrefix="1" applyFill="1" applyBorder="1" applyAlignment="1">
      <alignment horizontal="left" vertical="center" wrapText="1"/>
    </xf>
    <xf numFmtId="0" fontId="29" fillId="0" borderId="0" xfId="1" quotePrefix="1" applyFill="1" applyBorder="1" applyAlignment="1">
      <alignment vertical="center"/>
    </xf>
    <xf numFmtId="0" fontId="30" fillId="0" borderId="0" xfId="2" quotePrefix="1" applyFill="1" applyBorder="1" applyAlignment="1">
      <alignment vertical="center"/>
    </xf>
    <xf numFmtId="0" fontId="2" fillId="0" borderId="0" xfId="3" quotePrefix="1" applyFill="1" applyBorder="1" applyAlignment="1">
      <alignment vertical="center"/>
    </xf>
    <xf numFmtId="0" fontId="2" fillId="0" borderId="0" xfId="4" quotePrefix="1" applyFill="1" applyBorder="1" applyAlignment="1">
      <alignment vertical="center"/>
    </xf>
    <xf numFmtId="0" fontId="2" fillId="0" borderId="0" xfId="5" quotePrefix="1" applyFill="1" applyBorder="1" applyAlignment="1">
      <alignment vertical="center"/>
    </xf>
    <xf numFmtId="0" fontId="17" fillId="48" borderId="0" xfId="0" applyFont="1" applyFill="1"/>
    <xf numFmtId="0" fontId="17" fillId="49" borderId="0" xfId="0" applyFont="1" applyFill="1"/>
    <xf numFmtId="0" fontId="17" fillId="50" borderId="0" xfId="0" applyFont="1" applyFill="1"/>
    <xf numFmtId="0" fontId="17" fillId="51" borderId="0" xfId="0" applyFont="1" applyFill="1"/>
    <xf numFmtId="0" fontId="17" fillId="52" borderId="0" xfId="0" applyFont="1" applyFill="1"/>
    <xf numFmtId="0" fontId="17" fillId="53" borderId="0" xfId="0" applyFont="1" applyFill="1"/>
    <xf numFmtId="0" fontId="17" fillId="54" borderId="0" xfId="0" applyFont="1" applyFill="1"/>
    <xf numFmtId="0" fontId="17" fillId="55" borderId="0" xfId="0" applyFont="1" applyFill="1"/>
    <xf numFmtId="0" fontId="23" fillId="0" borderId="0" xfId="10" applyFont="1" applyFill="1" applyBorder="1" applyAlignment="1">
      <alignment vertical="center"/>
    </xf>
    <xf numFmtId="0" fontId="17" fillId="0" borderId="0" xfId="0" applyFont="1" applyFill="1" applyAlignment="1"/>
    <xf numFmtId="0" fontId="17" fillId="0" borderId="0" xfId="0" applyFont="1" applyFill="1"/>
    <xf numFmtId="0" fontId="36" fillId="0" borderId="0" xfId="10" applyFont="1" applyFill="1" applyBorder="1" applyAlignment="1">
      <alignment vertical="center"/>
    </xf>
    <xf numFmtId="0" fontId="37" fillId="0" borderId="0" xfId="13" applyFont="1" applyFill="1" applyAlignment="1">
      <alignment horizontal="center"/>
    </xf>
    <xf numFmtId="0" fontId="0" fillId="0" borderId="0" xfId="0" applyFill="1" applyAlignment="1">
      <alignment vertical="center"/>
    </xf>
    <xf numFmtId="0" fontId="5" fillId="0" borderId="0" xfId="8" applyFill="1" applyAlignment="1">
      <alignment vertical="center" wrapText="1"/>
    </xf>
    <xf numFmtId="0" fontId="19" fillId="0" borderId="0" xfId="13" applyFont="1" applyFill="1" applyAlignment="1">
      <alignment vertical="center"/>
    </xf>
    <xf numFmtId="0" fontId="19" fillId="0" borderId="0" xfId="13" applyFont="1" applyFill="1" applyAlignment="1">
      <alignment horizontal="center" vertical="center"/>
    </xf>
    <xf numFmtId="0" fontId="19" fillId="0" borderId="0" xfId="13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177" fontId="38" fillId="0" borderId="0" xfId="14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vertical="center"/>
    </xf>
    <xf numFmtId="0" fontId="35" fillId="0" borderId="0" xfId="8" applyFont="1" applyFill="1" applyAlignment="1">
      <alignment wrapText="1"/>
    </xf>
    <xf numFmtId="0" fontId="21" fillId="0" borderId="0" xfId="0" applyFont="1" applyFill="1" applyBorder="1" applyAlignment="1"/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Alignment="1">
      <alignment horizontal="center"/>
    </xf>
    <xf numFmtId="0" fontId="34" fillId="0" borderId="0" xfId="0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 wrapText="1"/>
    </xf>
    <xf numFmtId="0" fontId="34" fillId="0" borderId="9" xfId="0" applyFont="1" applyFill="1" applyBorder="1" applyAlignment="1">
      <alignment horizontal="center" vertical="center" wrapText="1"/>
    </xf>
    <xf numFmtId="0" fontId="34" fillId="0" borderId="8" xfId="0" applyFont="1" applyFill="1" applyBorder="1" applyAlignment="1">
      <alignment horizontal="center" vertical="center" wrapText="1"/>
    </xf>
    <xf numFmtId="0" fontId="34" fillId="0" borderId="6" xfId="0" applyFont="1" applyFill="1" applyBorder="1" applyAlignment="1">
      <alignment horizontal="center" vertical="top"/>
    </xf>
    <xf numFmtId="0" fontId="17" fillId="56" borderId="0" xfId="0" applyFont="1" applyFill="1"/>
    <xf numFmtId="0" fontId="17" fillId="57" borderId="0" xfId="0" applyFont="1" applyFill="1"/>
    <xf numFmtId="0" fontId="17" fillId="58" borderId="0" xfId="0" applyFont="1" applyFill="1"/>
    <xf numFmtId="0" fontId="50" fillId="0" borderId="0" xfId="0" applyFont="1"/>
    <xf numFmtId="0" fontId="17" fillId="59" borderId="0" xfId="0" applyFont="1" applyFill="1"/>
    <xf numFmtId="0" fontId="17" fillId="60" borderId="21" xfId="0" applyFont="1" applyFill="1" applyBorder="1"/>
    <xf numFmtId="0" fontId="17" fillId="61" borderId="20" xfId="0" applyFont="1" applyFill="1" applyBorder="1"/>
    <xf numFmtId="0" fontId="51" fillId="62" borderId="0" xfId="0" applyFont="1" applyFill="1"/>
    <xf numFmtId="0" fontId="52" fillId="63" borderId="0" xfId="0" applyFont="1" applyFill="1"/>
    <xf numFmtId="0" fontId="51" fillId="64" borderId="0" xfId="0" applyFont="1" applyFill="1"/>
    <xf numFmtId="0" fontId="3" fillId="57" borderId="0" xfId="0" applyFont="1" applyFill="1" applyAlignment="1">
      <alignment horizontal="center" vertical="center"/>
    </xf>
    <xf numFmtId="0" fontId="3" fillId="56" borderId="0" xfId="0" applyFont="1" applyFill="1" applyAlignment="1">
      <alignment horizontal="center" vertical="center"/>
    </xf>
    <xf numFmtId="0" fontId="0" fillId="65" borderId="22" xfId="0" applyFont="1" applyFill="1" applyBorder="1" applyAlignment="1">
      <alignment horizontal="center" vertical="center"/>
    </xf>
    <xf numFmtId="181" fontId="47" fillId="65" borderId="22" xfId="0" applyNumberFormat="1" applyFont="1" applyFill="1" applyBorder="1" applyAlignment="1">
      <alignment horizontal="center" vertical="top"/>
    </xf>
    <xf numFmtId="0" fontId="0" fillId="0" borderId="22" xfId="0" applyFont="1" applyFill="1" applyBorder="1" applyAlignment="1">
      <alignment horizontal="center" vertical="center"/>
    </xf>
    <xf numFmtId="181" fontId="47" fillId="0" borderId="22" xfId="0" applyNumberFormat="1" applyFont="1" applyFill="1" applyBorder="1" applyAlignment="1">
      <alignment horizontal="center" vertical="top"/>
    </xf>
    <xf numFmtId="180" fontId="53" fillId="0" borderId="22" xfId="0" applyNumberFormat="1" applyFont="1" applyFill="1" applyBorder="1" applyAlignment="1">
      <alignment horizontal="center" vertical="center"/>
    </xf>
    <xf numFmtId="180" fontId="53" fillId="65" borderId="22" xfId="0" applyNumberFormat="1" applyFont="1" applyFill="1" applyBorder="1" applyAlignment="1">
      <alignment horizontal="center" vertical="center"/>
    </xf>
    <xf numFmtId="180" fontId="54" fillId="65" borderId="22" xfId="0" applyNumberFormat="1" applyFont="1" applyFill="1" applyBorder="1" applyAlignment="1">
      <alignment horizontal="center" vertical="center"/>
    </xf>
    <xf numFmtId="180" fontId="54" fillId="0" borderId="22" xfId="0" applyNumberFormat="1" applyFont="1" applyFill="1" applyBorder="1" applyAlignment="1">
      <alignment horizontal="center" vertical="center"/>
    </xf>
    <xf numFmtId="0" fontId="0" fillId="65" borderId="0" xfId="0" applyFont="1" applyFill="1" applyBorder="1" applyAlignment="1">
      <alignment horizontal="center" vertical="center"/>
    </xf>
    <xf numFmtId="180" fontId="53" fillId="65" borderId="0" xfId="0" applyNumberFormat="1" applyFont="1" applyFill="1" applyBorder="1" applyAlignment="1">
      <alignment horizontal="center" vertical="center"/>
    </xf>
    <xf numFmtId="181" fontId="47" fillId="65" borderId="0" xfId="0" applyNumberFormat="1" applyFont="1" applyFill="1" applyBorder="1" applyAlignment="1">
      <alignment horizontal="center" vertical="top"/>
    </xf>
    <xf numFmtId="0" fontId="0" fillId="0" borderId="23" xfId="0" applyFont="1" applyFill="1" applyBorder="1" applyAlignment="1">
      <alignment horizontal="center" vertical="center"/>
    </xf>
    <xf numFmtId="180" fontId="53" fillId="0" borderId="23" xfId="0" applyNumberFormat="1" applyFont="1" applyFill="1" applyBorder="1" applyAlignment="1">
      <alignment horizontal="center" vertical="center"/>
    </xf>
    <xf numFmtId="181" fontId="47" fillId="0" borderId="23" xfId="0" applyNumberFormat="1" applyFont="1" applyFill="1" applyBorder="1" applyAlignment="1">
      <alignment horizontal="center" vertical="top"/>
    </xf>
    <xf numFmtId="0" fontId="0" fillId="65" borderId="23" xfId="0" applyFont="1" applyFill="1" applyBorder="1" applyAlignment="1">
      <alignment horizontal="center" vertical="center"/>
    </xf>
    <xf numFmtId="180" fontId="53" fillId="65" borderId="23" xfId="0" applyNumberFormat="1" applyFont="1" applyFill="1" applyBorder="1" applyAlignment="1">
      <alignment horizontal="center" vertical="center"/>
    </xf>
    <xf numFmtId="181" fontId="47" fillId="65" borderId="23" xfId="0" applyNumberFormat="1" applyFont="1" applyFill="1" applyBorder="1" applyAlignment="1">
      <alignment horizontal="center" vertical="top"/>
    </xf>
    <xf numFmtId="180" fontId="54" fillId="65" borderId="23" xfId="0" applyNumberFormat="1" applyFont="1" applyFill="1" applyBorder="1" applyAlignment="1">
      <alignment horizontal="center" vertical="center"/>
    </xf>
    <xf numFmtId="180" fontId="54" fillId="65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80" fontId="54" fillId="0" borderId="0" xfId="0" applyNumberFormat="1" applyFont="1" applyFill="1" applyBorder="1" applyAlignment="1">
      <alignment horizontal="center" vertical="center"/>
    </xf>
    <xf numFmtId="181" fontId="47" fillId="0" borderId="0" xfId="0" applyNumberFormat="1" applyFont="1" applyFill="1" applyBorder="1" applyAlignment="1">
      <alignment horizontal="center" vertical="top"/>
    </xf>
    <xf numFmtId="180" fontId="53" fillId="0" borderId="0" xfId="0" applyNumberFormat="1" applyFont="1" applyFill="1" applyBorder="1" applyAlignment="1">
      <alignment horizontal="center" vertical="center"/>
    </xf>
    <xf numFmtId="0" fontId="17" fillId="0" borderId="27" xfId="0" quotePrefix="1" applyFont="1" applyFill="1" applyBorder="1" applyAlignment="1">
      <alignment horizontal="left" vertical="center" wrapText="1"/>
    </xf>
    <xf numFmtId="0" fontId="22" fillId="0" borderId="27" xfId="0" applyNumberFormat="1" applyFont="1" applyFill="1" applyBorder="1" applyAlignment="1">
      <alignment horizontal="center" vertical="center"/>
    </xf>
    <xf numFmtId="0" fontId="48" fillId="0" borderId="27" xfId="0" applyFont="1" applyBorder="1"/>
    <xf numFmtId="0" fontId="48" fillId="65" borderId="27" xfId="0" applyFont="1" applyFill="1" applyBorder="1"/>
    <xf numFmtId="0" fontId="49" fillId="65" borderId="27" xfId="0" applyFont="1" applyFill="1" applyBorder="1" applyAlignment="1">
      <alignment horizontal="left" vertical="center"/>
    </xf>
    <xf numFmtId="0" fontId="48" fillId="0" borderId="27" xfId="0" applyFont="1" applyFill="1" applyBorder="1"/>
    <xf numFmtId="0" fontId="48" fillId="0" borderId="28" xfId="0" applyFont="1" applyFill="1" applyBorder="1"/>
    <xf numFmtId="0" fontId="48" fillId="0" borderId="29" xfId="0" applyFont="1" applyFill="1" applyBorder="1"/>
    <xf numFmtId="0" fontId="48" fillId="65" borderId="28" xfId="0" applyFont="1" applyFill="1" applyBorder="1"/>
    <xf numFmtId="0" fontId="48" fillId="65" borderId="29" xfId="0" applyFont="1" applyFill="1" applyBorder="1"/>
    <xf numFmtId="0" fontId="17" fillId="0" borderId="27" xfId="0" applyNumberFormat="1" applyFont="1" applyFill="1" applyBorder="1" applyAlignment="1">
      <alignment horizontal="center" vertical="center"/>
    </xf>
    <xf numFmtId="0" fontId="49" fillId="0" borderId="27" xfId="0" applyFont="1" applyFill="1" applyBorder="1" applyAlignment="1">
      <alignment horizontal="left" vertical="center"/>
    </xf>
    <xf numFmtId="0" fontId="17" fillId="0" borderId="27" xfId="2" quotePrefix="1" applyFont="1" applyFill="1" applyBorder="1" applyAlignment="1">
      <alignment horizontal="left" vertical="center" wrapText="1"/>
    </xf>
    <xf numFmtId="0" fontId="49" fillId="65" borderId="29" xfId="0" applyFont="1" applyFill="1" applyBorder="1" applyAlignment="1">
      <alignment horizontal="left" vertical="center"/>
    </xf>
    <xf numFmtId="0" fontId="17" fillId="0" borderId="27" xfId="3" quotePrefix="1" applyFont="1" applyFill="1" applyBorder="1" applyAlignment="1">
      <alignment horizontal="left" vertical="center" wrapText="1"/>
    </xf>
    <xf numFmtId="0" fontId="17" fillId="0" borderId="27" xfId="4" quotePrefix="1" applyFont="1" applyFill="1" applyBorder="1" applyAlignment="1">
      <alignment horizontal="left" vertical="center" wrapText="1"/>
    </xf>
    <xf numFmtId="0" fontId="17" fillId="0" borderId="27" xfId="5" quotePrefix="1" applyFont="1" applyFill="1" applyBorder="1" applyAlignment="1">
      <alignment horizontal="left" vertical="center" wrapText="1"/>
    </xf>
    <xf numFmtId="0" fontId="21" fillId="0" borderId="24" xfId="0" quotePrefix="1" applyFont="1" applyFill="1" applyBorder="1" applyAlignment="1">
      <alignment horizontal="left" vertical="center" wrapText="1"/>
    </xf>
    <xf numFmtId="0" fontId="56" fillId="0" borderId="24" xfId="0" applyNumberFormat="1" applyFont="1" applyFill="1" applyBorder="1" applyAlignment="1">
      <alignment horizontal="center" vertical="center"/>
    </xf>
    <xf numFmtId="0" fontId="57" fillId="0" borderId="24" xfId="0" applyFont="1" applyBorder="1"/>
    <xf numFmtId="0" fontId="57" fillId="65" borderId="24" xfId="0" applyFont="1" applyFill="1" applyBorder="1"/>
    <xf numFmtId="0" fontId="57" fillId="0" borderId="24" xfId="0" applyFont="1" applyFill="1" applyBorder="1"/>
    <xf numFmtId="0" fontId="57" fillId="0" borderId="25" xfId="0" applyFont="1" applyFill="1" applyBorder="1"/>
    <xf numFmtId="0" fontId="57" fillId="0" borderId="26" xfId="0" applyFont="1" applyFill="1" applyBorder="1"/>
    <xf numFmtId="0" fontId="57" fillId="65" borderId="25" xfId="0" applyFont="1" applyFill="1" applyBorder="1"/>
    <xf numFmtId="0" fontId="57" fillId="65" borderId="26" xfId="0" applyFont="1" applyFill="1" applyBorder="1"/>
    <xf numFmtId="0" fontId="58" fillId="0" borderId="24" xfId="0" applyFont="1" applyFill="1" applyBorder="1" applyAlignment="1">
      <alignment horizontal="left" vertical="center"/>
    </xf>
    <xf numFmtId="0" fontId="21" fillId="0" borderId="24" xfId="1" quotePrefix="1" applyFont="1" applyFill="1" applyBorder="1" applyAlignment="1">
      <alignment horizontal="left" vertical="center" wrapText="1"/>
    </xf>
    <xf numFmtId="0" fontId="21" fillId="0" borderId="24" xfId="1" applyNumberFormat="1" applyFont="1" applyFill="1" applyBorder="1" applyAlignment="1">
      <alignment horizontal="center" vertical="center"/>
    </xf>
    <xf numFmtId="0" fontId="58" fillId="65" borderId="24" xfId="0" applyFont="1" applyFill="1" applyBorder="1" applyAlignment="1">
      <alignment horizontal="left" vertical="center"/>
    </xf>
    <xf numFmtId="0" fontId="58" fillId="0" borderId="25" xfId="0" applyFont="1" applyFill="1" applyBorder="1" applyAlignment="1">
      <alignment horizontal="left" vertical="center"/>
    </xf>
    <xf numFmtId="0" fontId="59" fillId="0" borderId="27" xfId="2" applyNumberFormat="1" applyFont="1" applyFill="1" applyBorder="1" applyAlignment="1">
      <alignment horizontal="center" vertical="center"/>
    </xf>
    <xf numFmtId="0" fontId="21" fillId="0" borderId="24" xfId="0" applyNumberFormat="1" applyFont="1" applyFill="1" applyBorder="1" applyAlignment="1">
      <alignment horizontal="center" vertical="center"/>
    </xf>
    <xf numFmtId="0" fontId="17" fillId="0" borderId="27" xfId="3" applyNumberFormat="1" applyFont="1" applyFill="1" applyBorder="1" applyAlignment="1">
      <alignment horizontal="center" vertical="center"/>
    </xf>
    <xf numFmtId="0" fontId="17" fillId="0" borderId="27" xfId="4" applyNumberFormat="1" applyFont="1" applyFill="1" applyBorder="1" applyAlignment="1">
      <alignment horizontal="center" vertical="center"/>
    </xf>
    <xf numFmtId="0" fontId="17" fillId="0" borderId="27" xfId="5" applyNumberFormat="1" applyFont="1" applyFill="1" applyBorder="1" applyAlignment="1">
      <alignment horizontal="center" vertical="center"/>
    </xf>
    <xf numFmtId="0" fontId="48" fillId="65" borderId="27" xfId="0" applyFont="1" applyFill="1" applyBorder="1" applyAlignment="1">
      <alignment horizontal="left" vertical="center"/>
    </xf>
    <xf numFmtId="0" fontId="48" fillId="0" borderId="27" xfId="0" applyFont="1" applyFill="1" applyBorder="1" applyAlignment="1">
      <alignment horizontal="left" vertical="center"/>
    </xf>
    <xf numFmtId="0" fontId="57" fillId="0" borderId="24" xfId="0" applyFont="1" applyFill="1" applyBorder="1" applyAlignment="1">
      <alignment horizontal="left" vertical="center"/>
    </xf>
    <xf numFmtId="0" fontId="57" fillId="65" borderId="24" xfId="0" applyFont="1" applyFill="1" applyBorder="1" applyAlignment="1">
      <alignment horizontal="left" vertical="center"/>
    </xf>
    <xf numFmtId="0" fontId="60" fillId="8" borderId="0" xfId="0" applyFont="1" applyFill="1"/>
    <xf numFmtId="0" fontId="34" fillId="0" borderId="10" xfId="0" applyFont="1" applyFill="1" applyBorder="1" applyAlignment="1">
      <alignment horizontal="center" vertical="center" shrinkToFit="1"/>
    </xf>
    <xf numFmtId="0" fontId="34" fillId="0" borderId="10" xfId="0" applyFont="1" applyFill="1" applyBorder="1" applyAlignment="1">
      <alignment vertical="center" shrinkToFit="1"/>
    </xf>
    <xf numFmtId="182" fontId="21" fillId="0" borderId="10" xfId="0" applyNumberFormat="1" applyFont="1" applyFill="1" applyBorder="1" applyAlignment="1">
      <alignment vertical="center" wrapText="1"/>
    </xf>
    <xf numFmtId="0" fontId="21" fillId="0" borderId="10" xfId="0" applyFont="1" applyFill="1" applyBorder="1" applyAlignment="1">
      <alignment vertical="center" wrapText="1"/>
    </xf>
    <xf numFmtId="0" fontId="55" fillId="0" borderId="10" xfId="0" quotePrefix="1" applyFont="1" applyFill="1" applyBorder="1" applyAlignment="1">
      <alignment vertical="center" wrapText="1"/>
    </xf>
    <xf numFmtId="0" fontId="55" fillId="0" borderId="10" xfId="0" applyFont="1" applyFill="1" applyBorder="1" applyAlignment="1">
      <alignment vertical="center"/>
    </xf>
    <xf numFmtId="9" fontId="55" fillId="0" borderId="10" xfId="7" applyNumberFormat="1" applyFont="1" applyFill="1" applyBorder="1" applyAlignment="1">
      <alignment vertical="center"/>
    </xf>
    <xf numFmtId="177" fontId="55" fillId="0" borderId="10" xfId="14" applyNumberFormat="1" applyFont="1" applyFill="1" applyBorder="1" applyAlignment="1">
      <alignment vertical="center"/>
    </xf>
    <xf numFmtId="37" fontId="55" fillId="0" borderId="10" xfId="15" applyNumberFormat="1" applyFont="1" applyFill="1" applyBorder="1" applyAlignment="1">
      <alignment vertical="center"/>
    </xf>
    <xf numFmtId="182" fontId="21" fillId="0" borderId="10" xfId="1" applyNumberFormat="1" applyFont="1" applyFill="1" applyBorder="1" applyAlignment="1">
      <alignment vertical="center" wrapText="1"/>
    </xf>
    <xf numFmtId="0" fontId="21" fillId="0" borderId="10" xfId="1" applyFont="1" applyFill="1" applyBorder="1" applyAlignment="1">
      <alignment vertical="center" wrapText="1"/>
    </xf>
    <xf numFmtId="0" fontId="21" fillId="0" borderId="10" xfId="1" quotePrefix="1" applyFont="1" applyFill="1" applyBorder="1" applyAlignment="1">
      <alignment vertical="center" wrapText="1"/>
    </xf>
    <xf numFmtId="0" fontId="21" fillId="0" borderId="10" xfId="1" applyFont="1" applyFill="1" applyBorder="1" applyAlignment="1">
      <alignment vertical="center"/>
    </xf>
    <xf numFmtId="9" fontId="21" fillId="0" borderId="10" xfId="1" applyNumberFormat="1" applyFont="1" applyFill="1" applyBorder="1" applyAlignment="1">
      <alignment vertical="center"/>
    </xf>
    <xf numFmtId="177" fontId="21" fillId="0" borderId="10" xfId="1" applyNumberFormat="1" applyFont="1" applyFill="1" applyBorder="1" applyAlignment="1">
      <alignment vertical="center"/>
    </xf>
    <xf numFmtId="37" fontId="21" fillId="0" borderId="10" xfId="1" applyNumberFormat="1" applyFont="1" applyFill="1" applyBorder="1" applyAlignment="1">
      <alignment vertical="center"/>
    </xf>
    <xf numFmtId="183" fontId="17" fillId="0" borderId="10" xfId="0" applyNumberFormat="1" applyFont="1" applyFill="1" applyBorder="1" applyAlignment="1">
      <alignment vertical="center" wrapText="1"/>
    </xf>
    <xf numFmtId="0" fontId="17" fillId="0" borderId="10" xfId="0" applyFont="1" applyFill="1" applyBorder="1" applyAlignment="1">
      <alignment vertical="center" wrapText="1"/>
    </xf>
    <xf numFmtId="0" fontId="18" fillId="0" borderId="10" xfId="0" quotePrefix="1" applyFont="1" applyFill="1" applyBorder="1" applyAlignment="1">
      <alignment vertical="center" wrapText="1"/>
    </xf>
    <xf numFmtId="0" fontId="18" fillId="0" borderId="10" xfId="0" applyFont="1" applyFill="1" applyBorder="1" applyAlignment="1">
      <alignment vertical="center"/>
    </xf>
    <xf numFmtId="0" fontId="18" fillId="0" borderId="10" xfId="0" applyFont="1" applyFill="1" applyBorder="1" applyAlignment="1">
      <alignment vertical="center" wrapText="1"/>
    </xf>
    <xf numFmtId="9" fontId="18" fillId="0" borderId="10" xfId="7" applyNumberFormat="1" applyFont="1" applyFill="1" applyBorder="1" applyAlignment="1">
      <alignment vertical="center"/>
    </xf>
    <xf numFmtId="177" fontId="18" fillId="0" borderId="10" xfId="14" applyNumberFormat="1" applyFont="1" applyFill="1" applyBorder="1" applyAlignment="1">
      <alignment vertical="center"/>
    </xf>
    <xf numFmtId="37" fontId="18" fillId="0" borderId="10" xfId="15" applyNumberFormat="1" applyFont="1" applyFill="1" applyBorder="1" applyAlignment="1">
      <alignment vertical="center"/>
    </xf>
    <xf numFmtId="0" fontId="17" fillId="0" borderId="10" xfId="0" applyFont="1" applyFill="1" applyBorder="1" applyAlignment="1">
      <alignment vertical="center"/>
    </xf>
    <xf numFmtId="9" fontId="17" fillId="0" borderId="10" xfId="0" applyNumberFormat="1" applyFont="1" applyFill="1" applyBorder="1" applyAlignment="1">
      <alignment vertical="center"/>
    </xf>
    <xf numFmtId="177" fontId="17" fillId="0" borderId="10" xfId="0" applyNumberFormat="1" applyFont="1" applyFill="1" applyBorder="1" applyAlignment="1">
      <alignment vertical="center"/>
    </xf>
    <xf numFmtId="37" fontId="17" fillId="0" borderId="10" xfId="0" applyNumberFormat="1" applyFont="1" applyFill="1" applyBorder="1" applyAlignment="1">
      <alignment vertical="center"/>
    </xf>
    <xf numFmtId="183" fontId="17" fillId="0" borderId="10" xfId="2" applyNumberFormat="1" applyFont="1" applyFill="1" applyBorder="1" applyAlignment="1">
      <alignment vertical="center" wrapText="1"/>
    </xf>
    <xf numFmtId="0" fontId="17" fillId="0" borderId="10" xfId="2" applyFont="1" applyFill="1" applyBorder="1" applyAlignment="1">
      <alignment vertical="center" wrapText="1"/>
    </xf>
    <xf numFmtId="0" fontId="17" fillId="0" borderId="10" xfId="2" applyFont="1" applyFill="1" applyBorder="1" applyAlignment="1">
      <alignment vertical="center"/>
    </xf>
    <xf numFmtId="9" fontId="17" fillId="0" borderId="10" xfId="2" applyNumberFormat="1" applyFont="1" applyFill="1" applyBorder="1" applyAlignment="1">
      <alignment vertical="center"/>
    </xf>
    <xf numFmtId="177" fontId="17" fillId="0" borderId="10" xfId="2" applyNumberFormat="1" applyFont="1" applyFill="1" applyBorder="1" applyAlignment="1">
      <alignment vertical="center"/>
    </xf>
    <xf numFmtId="37" fontId="17" fillId="0" borderId="10" xfId="2" applyNumberFormat="1" applyFont="1" applyFill="1" applyBorder="1" applyAlignment="1">
      <alignment vertical="center"/>
    </xf>
    <xf numFmtId="184" fontId="17" fillId="0" borderId="10" xfId="0" applyNumberFormat="1" applyFont="1" applyFill="1" applyBorder="1" applyAlignment="1">
      <alignment vertical="center" wrapText="1"/>
    </xf>
    <xf numFmtId="0" fontId="21" fillId="0" borderId="10" xfId="0" quotePrefix="1" applyFont="1" applyFill="1" applyBorder="1" applyAlignment="1">
      <alignment vertical="center" wrapText="1"/>
    </xf>
    <xf numFmtId="0" fontId="21" fillId="0" borderId="10" xfId="0" applyFont="1" applyFill="1" applyBorder="1" applyAlignment="1">
      <alignment vertical="center"/>
    </xf>
    <xf numFmtId="9" fontId="21" fillId="0" borderId="10" xfId="0" applyNumberFormat="1" applyFont="1" applyFill="1" applyBorder="1" applyAlignment="1">
      <alignment vertical="center"/>
    </xf>
    <xf numFmtId="177" fontId="21" fillId="0" borderId="10" xfId="0" applyNumberFormat="1" applyFont="1" applyFill="1" applyBorder="1" applyAlignment="1">
      <alignment vertical="center"/>
    </xf>
    <xf numFmtId="37" fontId="21" fillId="0" borderId="10" xfId="0" applyNumberFormat="1" applyFont="1" applyFill="1" applyBorder="1" applyAlignment="1">
      <alignment vertical="center"/>
    </xf>
    <xf numFmtId="0" fontId="55" fillId="0" borderId="10" xfId="0" applyFont="1" applyFill="1" applyBorder="1" applyAlignment="1">
      <alignment vertical="center" wrapText="1"/>
    </xf>
    <xf numFmtId="177" fontId="17" fillId="0" borderId="10" xfId="1" applyNumberFormat="1" applyFont="1" applyFill="1" applyBorder="1" applyAlignment="1">
      <alignment vertical="center"/>
    </xf>
    <xf numFmtId="0" fontId="17" fillId="0" borderId="10" xfId="2" quotePrefix="1" applyFont="1" applyFill="1" applyBorder="1" applyAlignment="1">
      <alignment vertical="center" wrapText="1"/>
    </xf>
    <xf numFmtId="184" fontId="17" fillId="0" borderId="10" xfId="3" applyNumberFormat="1" applyFont="1" applyFill="1" applyBorder="1" applyAlignment="1">
      <alignment vertical="center" wrapText="1"/>
    </xf>
    <xf numFmtId="0" fontId="17" fillId="0" borderId="10" xfId="3" applyFont="1" applyFill="1" applyBorder="1" applyAlignment="1">
      <alignment vertical="center" wrapText="1"/>
    </xf>
    <xf numFmtId="0" fontId="17" fillId="0" borderId="10" xfId="3" quotePrefix="1" applyFont="1" applyFill="1" applyBorder="1" applyAlignment="1">
      <alignment vertical="center" wrapText="1"/>
    </xf>
    <xf numFmtId="0" fontId="17" fillId="0" borderId="10" xfId="3" applyFont="1" applyFill="1" applyBorder="1" applyAlignment="1">
      <alignment vertical="center"/>
    </xf>
    <xf numFmtId="9" fontId="17" fillId="0" borderId="10" xfId="3" applyNumberFormat="1" applyFont="1" applyFill="1" applyBorder="1" applyAlignment="1">
      <alignment vertical="center"/>
    </xf>
    <xf numFmtId="177" fontId="17" fillId="0" borderId="10" xfId="3" applyNumberFormat="1" applyFont="1" applyFill="1" applyBorder="1" applyAlignment="1">
      <alignment vertical="center"/>
    </xf>
    <xf numFmtId="37" fontId="17" fillId="0" borderId="10" xfId="3" applyNumberFormat="1" applyFont="1" applyFill="1" applyBorder="1" applyAlignment="1">
      <alignment vertical="center"/>
    </xf>
    <xf numFmtId="185" fontId="17" fillId="0" borderId="10" xfId="0" applyNumberFormat="1" applyFont="1" applyFill="1" applyBorder="1" applyAlignment="1">
      <alignment vertical="center" wrapText="1"/>
    </xf>
    <xf numFmtId="185" fontId="17" fillId="0" borderId="10" xfId="4" applyNumberFormat="1" applyFont="1" applyFill="1" applyBorder="1" applyAlignment="1">
      <alignment vertical="center" wrapText="1"/>
    </xf>
    <xf numFmtId="0" fontId="17" fillId="0" borderId="10" xfId="4" applyFont="1" applyFill="1" applyBorder="1" applyAlignment="1">
      <alignment vertical="center" wrapText="1"/>
    </xf>
    <xf numFmtId="0" fontId="17" fillId="0" borderId="10" xfId="4" quotePrefix="1" applyFont="1" applyFill="1" applyBorder="1" applyAlignment="1">
      <alignment vertical="center" wrapText="1"/>
    </xf>
    <xf numFmtId="0" fontId="17" fillId="0" borderId="10" xfId="4" applyFont="1" applyFill="1" applyBorder="1" applyAlignment="1">
      <alignment vertical="center"/>
    </xf>
    <xf numFmtId="9" fontId="17" fillId="0" borderId="10" xfId="4" applyNumberFormat="1" applyFont="1" applyFill="1" applyBorder="1" applyAlignment="1">
      <alignment vertical="center"/>
    </xf>
    <xf numFmtId="177" fontId="17" fillId="0" borderId="10" xfId="4" applyNumberFormat="1" applyFont="1" applyFill="1" applyBorder="1" applyAlignment="1">
      <alignment vertical="center"/>
    </xf>
    <xf numFmtId="37" fontId="17" fillId="0" borderId="10" xfId="4" applyNumberFormat="1" applyFont="1" applyFill="1" applyBorder="1" applyAlignment="1">
      <alignment vertical="center"/>
    </xf>
    <xf numFmtId="186" fontId="17" fillId="0" borderId="10" xfId="0" applyNumberFormat="1" applyFont="1" applyFill="1" applyBorder="1" applyAlignment="1">
      <alignment vertical="center" wrapText="1"/>
    </xf>
    <xf numFmtId="186" fontId="17" fillId="0" borderId="10" xfId="5" applyNumberFormat="1" applyFont="1" applyFill="1" applyBorder="1" applyAlignment="1">
      <alignment vertical="center" wrapText="1"/>
    </xf>
    <xf numFmtId="0" fontId="17" fillId="0" borderId="10" xfId="5" applyFont="1" applyFill="1" applyBorder="1" applyAlignment="1">
      <alignment vertical="center" wrapText="1"/>
    </xf>
    <xf numFmtId="0" fontId="17" fillId="0" borderId="10" xfId="5" quotePrefix="1" applyFont="1" applyFill="1" applyBorder="1" applyAlignment="1">
      <alignment vertical="center" wrapText="1"/>
    </xf>
    <xf numFmtId="0" fontId="17" fillId="0" borderId="10" xfId="5" applyFont="1" applyFill="1" applyBorder="1" applyAlignment="1">
      <alignment vertical="center"/>
    </xf>
    <xf numFmtId="9" fontId="17" fillId="0" borderId="10" xfId="5" applyNumberFormat="1" applyFont="1" applyFill="1" applyBorder="1" applyAlignment="1">
      <alignment vertical="center"/>
    </xf>
    <xf numFmtId="177" fontId="17" fillId="0" borderId="10" xfId="5" applyNumberFormat="1" applyFont="1" applyFill="1" applyBorder="1" applyAlignment="1">
      <alignment vertical="center"/>
    </xf>
    <xf numFmtId="37" fontId="17" fillId="0" borderId="10" xfId="5" applyNumberFormat="1" applyFont="1" applyFill="1" applyBorder="1" applyAlignment="1">
      <alignment vertical="center"/>
    </xf>
    <xf numFmtId="0" fontId="34" fillId="0" borderId="0" xfId="0" applyFont="1" applyFill="1" applyBorder="1" applyAlignment="1">
      <alignment horizontal="center" vertical="center" shrinkToFit="1"/>
    </xf>
  </cellXfs>
  <cellStyles count="39">
    <cellStyle name="% complete" xfId="25"/>
    <cellStyle name="% complete (beyond plan) legend" xfId="27"/>
    <cellStyle name="Activity" xfId="33"/>
    <cellStyle name="Actual (beyond plan) legend" xfId="26"/>
    <cellStyle name="Actual legend" xfId="24"/>
    <cellStyle name="Date" xfId="14"/>
    <cellStyle name="Explanatory Text 2" xfId="19"/>
    <cellStyle name="Heading 1 2" xfId="17"/>
    <cellStyle name="Heading 2 2" xfId="28"/>
    <cellStyle name="Heading 3 2" xfId="29"/>
    <cellStyle name="Heading 4 2" xfId="30"/>
    <cellStyle name="Label" xfId="23"/>
    <cellStyle name="Normal 2" xfId="18"/>
    <cellStyle name="Percent Complete" xfId="34"/>
    <cellStyle name="Period Headers" xfId="32"/>
    <cellStyle name="Period Highlight Control" xfId="20"/>
    <cellStyle name="Period Value" xfId="21"/>
    <cellStyle name="Plan legend" xfId="22"/>
    <cellStyle name="Project Headers" xfId="31"/>
    <cellStyle name="RowLevel_1" xfId="1" builtinId="1" iLevel="0"/>
    <cellStyle name="RowLevel_2" xfId="2" builtinId="1" iLevel="1"/>
    <cellStyle name="RowLevel_3" xfId="3" builtinId="1" iLevel="2"/>
    <cellStyle name="RowLevel_4" xfId="4" builtinId="1" iLevel="3"/>
    <cellStyle name="RowLevel_5" xfId="5" builtinId="1" iLevel="4"/>
    <cellStyle name="Title 2" xfId="16"/>
    <cellStyle name="zHiddenText" xfId="8"/>
    <cellStyle name="백분율" xfId="7" builtinId="5" customBuiltin="1"/>
    <cellStyle name="쉼표" xfId="9" builtinId="3" customBuiltin="1"/>
    <cellStyle name="쉼표 [0]" xfId="15" builtinId="6" customBuiltin="1"/>
    <cellStyle name="제목" xfId="10" builtinId="15" customBuiltin="1"/>
    <cellStyle name="제목 1" xfId="11" builtinId="16" customBuiltin="1"/>
    <cellStyle name="제목 1 2" xfId="38"/>
    <cellStyle name="제목 2" xfId="12" builtinId="17" customBuiltin="1"/>
    <cellStyle name="제목 3" xfId="13" builtinId="18" customBuiltin="1"/>
    <cellStyle name="제목 5" xfId="36"/>
    <cellStyle name="표준" xfId="0" builtinId="0"/>
    <cellStyle name="표준 2" xfId="35"/>
    <cellStyle name="표준 3" xfId="37"/>
    <cellStyle name="하이퍼링크" xfId="6" builtinId="8" customBuiltin="1"/>
  </cellStyles>
  <dxfs count="18">
    <dxf>
      <font>
        <color rgb="FF808080"/>
      </font>
      <fill>
        <patternFill>
          <bgColor rgb="FFBFBFBF"/>
        </patternFill>
      </fill>
    </dxf>
    <dxf>
      <font>
        <color rgb="FFAC2443"/>
      </font>
      <fill>
        <patternFill>
          <bgColor rgb="FFEFB1BF"/>
        </patternFill>
      </fill>
    </dxf>
    <dxf>
      <font>
        <color rgb="FF0070C0"/>
      </font>
      <fill>
        <patternFill>
          <bgColor rgb="FF92D050"/>
        </patternFill>
      </fill>
    </dxf>
    <dxf>
      <font>
        <b val="0"/>
        <i val="0"/>
        <color theme="0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color theme="2"/>
      </font>
      <fill>
        <patternFill patternType="solid">
          <bgColor theme="1"/>
        </patternFill>
      </fill>
      <border diagonalUp="0" diagonalDown="0">
        <left/>
        <right/>
        <top/>
        <bottom/>
        <vertical/>
        <horizontal style="thin">
          <color theme="0" tint="-0.499984740745262"/>
        </horizontal>
      </border>
    </dxf>
    <dxf>
      <border>
        <horizontal/>
      </border>
    </dxf>
    <dxf>
      <border>
        <left style="thin">
          <color theme="0" tint="-0.24994659260841701"/>
        </left>
      </border>
    </dxf>
    <dxf>
      <border>
        <left style="thin">
          <color theme="0" tint="-0.24994659260841701"/>
        </left>
      </border>
    </dxf>
    <dxf>
      <border>
        <top style="thin">
          <color theme="4" tint="0.39994506668294322"/>
        </top>
      </border>
    </dxf>
    <dxf>
      <fill>
        <patternFill>
          <bgColor theme="0" tint="-4.9989318521683403E-2"/>
        </patternFill>
      </fill>
      <border>
        <top style="thin">
          <color theme="4" tint="0.39994506668294322"/>
        </top>
      </border>
    </dxf>
    <dxf>
      <font>
        <b/>
        <color theme="1"/>
      </font>
    </dxf>
    <dxf>
      <font>
        <b val="0"/>
        <i val="0"/>
        <color theme="1"/>
      </font>
      <border>
        <left style="thin">
          <color theme="4"/>
        </left>
      </border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ill>
        <patternFill patternType="none">
          <fgColor indexed="64"/>
          <bgColor auto="1"/>
        </patternFill>
      </fill>
      <border>
        <top style="thin">
          <color theme="6" tint="0.39994506668294322"/>
        </top>
        <bottom style="thin">
          <color theme="6" tint="0.39994506668294322"/>
        </bottom>
      </border>
    </dxf>
    <dxf>
      <font>
        <color theme="0"/>
      </font>
      <fill>
        <patternFill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font>
        <color theme="3" tint="-0.24994659260841701"/>
      </font>
      <border diagonalUp="0" diagonalDown="0">
        <left/>
        <right style="thin">
          <color theme="6" tint="0.39994506668294322"/>
        </right>
        <top/>
        <bottom/>
        <vertical/>
        <horizontal/>
      </border>
    </dxf>
  </dxfs>
  <tableStyles count="4" defaultTableStyle="Gantt Table Style" defaultPivotStyle="PivotStyleLight16">
    <tableStyle name="Gantt Table Style" pivot="0" count="3">
      <tableStyleElement type="wholeTable" dxfId="17"/>
      <tableStyleElement type="headerRow" dxfId="16"/>
      <tableStyleElement type="firstRowStripe" dxfId="15"/>
    </tableStyle>
    <tableStyle name="ToDoList" pivot="0" count="9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secondRowStripe" dxfId="8"/>
      <tableStyleElement type="firstColumnStripe" dxfId="7"/>
      <tableStyleElement type="secondColumnStripe" dxfId="6"/>
    </tableStyle>
    <tableStyle name="표 스타일 1" pivot="0" count="1">
      <tableStyleElement type="wholeTable" dxfId="5"/>
    </tableStyle>
    <tableStyle name="프로젝트 타임라인" pivot="0" count="2">
      <tableStyleElement type="wholeTable" dxfId="4"/>
      <tableStyleElement type="headerRow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00CC99"/>
      <color rgb="FFCFD5DB"/>
      <color rgb="FFE2E6EA"/>
      <color rgb="FF98A5B2"/>
      <color rgb="FFA2AEBA"/>
      <color rgb="FFB2BCC6"/>
      <color rgb="FFE9CCC9"/>
      <color rgb="FFD0CDD1"/>
      <color rgb="FFE1E8EF"/>
      <color rgb="FFF8E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Setting!$H$15" lockText="1" noThreeD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56268</xdr:colOff>
          <xdr:row>3</xdr:row>
          <xdr:rowOff>21515</xdr:rowOff>
        </xdr:from>
        <xdr:to>
          <xdr:col>13</xdr:col>
          <xdr:colOff>235837</xdr:colOff>
          <xdr:row>4</xdr:row>
          <xdr:rowOff>261087</xdr:rowOff>
        </xdr:to>
        <xdr:grpSp>
          <xdr:nvGrpSpPr>
            <xdr:cNvPr id="675" name="그룹 674">
              <a:extLst>
                <a:ext uri="{FF2B5EF4-FFF2-40B4-BE49-F238E27FC236}">
                  <a16:creationId xmlns:a16="http://schemas.microsoft.com/office/drawing/2014/main" id="{00000000-0008-0000-0100-0000A3020000}"/>
                </a:ext>
              </a:extLst>
            </xdr:cNvPr>
            <xdr:cNvGrpSpPr/>
          </xdr:nvGrpSpPr>
          <xdr:grpSpPr>
            <a:xfrm>
              <a:off x="7908181" y="3367689"/>
              <a:ext cx="3716243" cy="620572"/>
              <a:chOff x="3492489" y="3012080"/>
              <a:chExt cx="3729841" cy="539888"/>
            </a:xfrm>
          </xdr:grpSpPr>
          <xdr:grpSp>
            <xdr:nvGrpSpPr>
              <xdr:cNvPr id="676" name="CommandBox">
                <a:extLst>
                  <a:ext uri="{FF2B5EF4-FFF2-40B4-BE49-F238E27FC236}">
                    <a16:creationId xmlns:a16="http://schemas.microsoft.com/office/drawing/2014/main" id="{00000000-0008-0000-0100-0000A4020000}"/>
                  </a:ext>
                </a:extLst>
              </xdr:cNvPr>
              <xdr:cNvGrpSpPr/>
            </xdr:nvGrpSpPr>
            <xdr:grpSpPr>
              <a:xfrm>
                <a:off x="4610031" y="3012080"/>
                <a:ext cx="2612299" cy="530197"/>
                <a:chOff x="4610031" y="2693426"/>
                <a:chExt cx="2612299" cy="530197"/>
              </a:xfrm>
            </xdr:grpSpPr>
            <xdr:grpSp>
              <xdr:nvGrpSpPr>
                <xdr:cNvPr id="680" name="그룹 679">
                  <a:extLst>
                    <a:ext uri="{FF2B5EF4-FFF2-40B4-BE49-F238E27FC236}">
                      <a16:creationId xmlns:a16="http://schemas.microsoft.com/office/drawing/2014/main" id="{00000000-0008-0000-0100-0000A8020000}"/>
                    </a:ext>
                  </a:extLst>
                </xdr:cNvPr>
                <xdr:cNvGrpSpPr/>
              </xdr:nvGrpSpPr>
              <xdr:grpSpPr>
                <a:xfrm>
                  <a:off x="4610031" y="2982895"/>
                  <a:ext cx="2612299" cy="240728"/>
                  <a:chOff x="2978015" y="1778120"/>
                  <a:chExt cx="3392198" cy="243127"/>
                </a:xfrm>
              </xdr:grpSpPr>
              <xdr:sp macro="" textlink="">
                <xdr:nvSpPr>
                  <xdr:cNvPr id="6238" name="Button 94" hidden="1">
                    <a:extLst>
                      <a:ext uri="{63B3BB69-23CF-44E3-9099-C40C66FF867C}">
                        <a14:compatExt spid="_x0000_s6238"/>
                      </a:ext>
                      <a:ext uri="{FF2B5EF4-FFF2-40B4-BE49-F238E27FC236}">
                        <a16:creationId xmlns:a16="http://schemas.microsoft.com/office/drawing/2014/main" id="{00000000-0008-0000-0100-00005E180000}"/>
                      </a:ext>
                    </a:extLst>
                  </xdr:cNvPr>
                  <xdr:cNvSpPr/>
                </xdr:nvSpPr>
                <xdr:spPr bwMode="auto">
                  <a:xfrm>
                    <a:off x="4021273" y="1778120"/>
                    <a:ext cx="1346002" cy="243127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7432" rIns="27432" bIns="27432" anchor="ctr" upright="1"/>
                  <a:lstStyle/>
                  <a:p>
                    <a:pPr algn="ctr" rtl="0">
                      <a:defRPr sz="1000"/>
                    </a:pPr>
                    <a:r>
                      <a:rPr lang="ko-KR" altLang="en-US" sz="1000" b="0" i="0" u="none" strike="noStrike" baseline="0">
                        <a:solidFill>
                          <a:srgbClr val="000000"/>
                        </a:solidFill>
                        <a:latin typeface="맑은 고딕"/>
                        <a:ea typeface="맑은 고딕"/>
                      </a:rPr>
                      <a:t>선택/지우기</a:t>
                    </a:r>
                  </a:p>
                </xdr:txBody>
              </xdr:sp>
              <xdr:sp macro="" textlink="">
                <xdr:nvSpPr>
                  <xdr:cNvPr id="6239" name="Button 95" hidden="1">
                    <a:extLst>
                      <a:ext uri="{63B3BB69-23CF-44E3-9099-C40C66FF867C}">
                        <a14:compatExt spid="_x0000_s6239"/>
                      </a:ext>
                      <a:ext uri="{FF2B5EF4-FFF2-40B4-BE49-F238E27FC236}">
                        <a16:creationId xmlns:a16="http://schemas.microsoft.com/office/drawing/2014/main" id="{00000000-0008-0000-0100-00005F180000}"/>
                      </a:ext>
                    </a:extLst>
                  </xdr:cNvPr>
                  <xdr:cNvSpPr/>
                </xdr:nvSpPr>
                <xdr:spPr bwMode="auto">
                  <a:xfrm>
                    <a:off x="5434572" y="1779966"/>
                    <a:ext cx="935641" cy="238893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7432" rIns="27432" bIns="27432" anchor="ctr" upright="1"/>
                  <a:lstStyle/>
                  <a:p>
                    <a:pPr algn="ctr" rtl="0">
                      <a:defRPr sz="1000"/>
                    </a:pPr>
                    <a:r>
                      <a:rPr lang="ko-KR" altLang="en-US" sz="1000" b="1" i="0" u="none" strike="noStrike" baseline="0">
                        <a:solidFill>
                          <a:srgbClr val="0000FF"/>
                        </a:solidFill>
                        <a:latin typeface="맑은 고딕"/>
                        <a:ea typeface="맑은 고딕"/>
                      </a:rPr>
                      <a:t>실행</a:t>
                    </a:r>
                  </a:p>
                </xdr:txBody>
              </xdr:sp>
              <xdr:sp macro="" textlink="">
                <xdr:nvSpPr>
                  <xdr:cNvPr id="6240" name="Button 96" hidden="1">
                    <a:extLst>
                      <a:ext uri="{63B3BB69-23CF-44E3-9099-C40C66FF867C}">
                        <a14:compatExt spid="_x0000_s6240"/>
                      </a:ext>
                      <a:ext uri="{FF2B5EF4-FFF2-40B4-BE49-F238E27FC236}">
                        <a16:creationId xmlns:a16="http://schemas.microsoft.com/office/drawing/2014/main" id="{00000000-0008-0000-0100-000060180000}"/>
                      </a:ext>
                    </a:extLst>
                  </xdr:cNvPr>
                  <xdr:cNvSpPr/>
                </xdr:nvSpPr>
                <xdr:spPr bwMode="auto">
                  <a:xfrm>
                    <a:off x="2978015" y="1779969"/>
                    <a:ext cx="935650" cy="23889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7432" rIns="27432" bIns="27432" anchor="ctr" upright="1"/>
                  <a:lstStyle/>
                  <a:p>
                    <a:pPr algn="ctr" rtl="0">
                      <a:defRPr sz="1000"/>
                    </a:pPr>
                    <a:r>
                      <a:rPr lang="ko-KR" altLang="en-US" sz="1000" b="0" i="0" u="none" strike="noStrike" baseline="0">
                        <a:solidFill>
                          <a:srgbClr val="109618"/>
                        </a:solidFill>
                        <a:latin typeface="맑은 고딕"/>
                        <a:ea typeface="맑은 고딕"/>
                      </a:rPr>
                      <a:t>옵션</a:t>
                    </a:r>
                  </a:p>
                </xdr:txBody>
              </xdr:sp>
            </xdr:grpSp>
            <xdr:sp macro="" textlink="">
              <xdr:nvSpPr>
                <xdr:cNvPr id="6243" name="Check Box 99" hidden="1">
                  <a:extLst>
                    <a:ext uri="{63B3BB69-23CF-44E3-9099-C40C66FF867C}">
                      <a14:compatExt spid="_x0000_s6243"/>
                    </a:ext>
                    <a:ext uri="{FF2B5EF4-FFF2-40B4-BE49-F238E27FC236}">
                      <a16:creationId xmlns:a16="http://schemas.microsoft.com/office/drawing/2014/main" id="{00000000-0008-0000-0100-000063180000}"/>
                    </a:ext>
                  </a:extLst>
                </xdr:cNvPr>
                <xdr:cNvSpPr/>
              </xdr:nvSpPr>
              <xdr:spPr bwMode="auto">
                <a:xfrm>
                  <a:off x="6111206" y="2693426"/>
                  <a:ext cx="1109049" cy="23666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2860" rIns="0" bIns="22860" anchor="ctr" upright="1"/>
                <a:lstStyle/>
                <a:p>
                  <a:pPr algn="l" rtl="0">
                    <a:defRPr sz="1000"/>
                  </a:pPr>
                  <a:r>
                    <a:rPr lang="ko-KR" altLang="en-US" sz="900" b="0" i="0" u="none" strike="noStrike" baseline="0">
                      <a:solidFill>
                        <a:srgbClr val="000000"/>
                      </a:solidFill>
                      <a:latin typeface="Malgun Gothic"/>
                      <a:ea typeface="Malgun Gothic"/>
                    </a:rPr>
                    <a:t>조건부 서식 확인</a:t>
                  </a:r>
                </a:p>
              </xdr:txBody>
            </xdr:sp>
          </xdr:grpSp>
          <xdr:sp macro="" textlink="">
            <xdr:nvSpPr>
              <xdr:cNvPr id="6244" name="CommandButton1" hidden="1">
                <a:extLst>
                  <a:ext uri="{63B3BB69-23CF-44E3-9099-C40C66FF867C}">
                    <a14:compatExt spid="_x0000_s6244"/>
                  </a:ext>
                  <a:ext uri="{FF2B5EF4-FFF2-40B4-BE49-F238E27FC236}">
                    <a16:creationId xmlns:a16="http://schemas.microsoft.com/office/drawing/2014/main" id="{00000000-0008-0000-0100-000064180000}"/>
                  </a:ext>
                </a:extLst>
              </xdr:cNvPr>
              <xdr:cNvSpPr/>
            </xdr:nvSpPr>
            <xdr:spPr bwMode="auto">
              <a:xfrm>
                <a:off x="3492489" y="3294496"/>
                <a:ext cx="1054231" cy="2574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PrintsWithSheet="0"/>
      </xdr:twoCellAnchor>
    </mc:Choice>
    <mc:Fallback/>
  </mc:AlternateContent>
  <xdr:twoCellAnchor>
    <xdr:from>
      <xdr:col>39</xdr:col>
      <xdr:colOff>0</xdr:colOff>
      <xdr:row>7</xdr:row>
      <xdr:rowOff>31433</xdr:rowOff>
    </xdr:from>
    <xdr:to>
      <xdr:col>161</xdr:col>
      <xdr:colOff>231775</xdr:colOff>
      <xdr:row>7</xdr:row>
      <xdr:rowOff>178117</xdr:rowOff>
    </xdr:to>
    <xdr:sp macro="" textlink="">
      <xdr:nvSpPr>
        <xdr:cNvPr id="2" name="TLR1"/>
        <xdr:cNvSpPr/>
      </xdr:nvSpPr>
      <xdr:spPr>
        <a:xfrm>
          <a:off x="20545425" y="4898708"/>
          <a:ext cx="29283025" cy="146684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</xdr:row>
      <xdr:rowOff>31433</xdr:rowOff>
    </xdr:from>
    <xdr:to>
      <xdr:col>161</xdr:col>
      <xdr:colOff>196056</xdr:colOff>
      <xdr:row>7</xdr:row>
      <xdr:rowOff>178117</xdr:rowOff>
    </xdr:to>
    <xdr:sp macro="" textlink="">
      <xdr:nvSpPr>
        <xdr:cNvPr id="3" name="TL1"/>
        <xdr:cNvSpPr/>
      </xdr:nvSpPr>
      <xdr:spPr>
        <a:xfrm>
          <a:off x="20640675" y="4898708"/>
          <a:ext cx="29152056" cy="146684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8</xdr:row>
      <xdr:rowOff>31433</xdr:rowOff>
    </xdr:from>
    <xdr:to>
      <xdr:col>42</xdr:col>
      <xdr:colOff>231775</xdr:colOff>
      <xdr:row>8</xdr:row>
      <xdr:rowOff>178117</xdr:rowOff>
    </xdr:to>
    <xdr:sp macro="" textlink="">
      <xdr:nvSpPr>
        <xdr:cNvPr id="5" name="TLR2"/>
        <xdr:cNvSpPr/>
      </xdr:nvSpPr>
      <xdr:spPr>
        <a:xfrm>
          <a:off x="20545425" y="5108258"/>
          <a:ext cx="946150" cy="146684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95251</xdr:colOff>
      <xdr:row>8</xdr:row>
      <xdr:rowOff>31433</xdr:rowOff>
    </xdr:from>
    <xdr:to>
      <xdr:col>42</xdr:col>
      <xdr:colOff>196057</xdr:colOff>
      <xdr:row>8</xdr:row>
      <xdr:rowOff>178117</xdr:rowOff>
    </xdr:to>
    <xdr:sp macro="" textlink="">
      <xdr:nvSpPr>
        <xdr:cNvPr id="6" name="TL2"/>
        <xdr:cNvSpPr/>
      </xdr:nvSpPr>
      <xdr:spPr>
        <a:xfrm>
          <a:off x="20640676" y="5108258"/>
          <a:ext cx="815181" cy="146684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9</xdr:row>
      <xdr:rowOff>31433</xdr:rowOff>
    </xdr:from>
    <xdr:to>
      <xdr:col>40</xdr:col>
      <xdr:colOff>231775</xdr:colOff>
      <xdr:row>9</xdr:row>
      <xdr:rowOff>178117</xdr:rowOff>
    </xdr:to>
    <xdr:sp macro="" textlink="">
      <xdr:nvSpPr>
        <xdr:cNvPr id="8" name="TLR2.1"/>
        <xdr:cNvSpPr/>
      </xdr:nvSpPr>
      <xdr:spPr>
        <a:xfrm>
          <a:off x="20783550" y="5317808"/>
          <a:ext cx="231775" cy="146684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35719</xdr:colOff>
      <xdr:row>9</xdr:row>
      <xdr:rowOff>31433</xdr:rowOff>
    </xdr:from>
    <xdr:to>
      <xdr:col>40</xdr:col>
      <xdr:colOff>196056</xdr:colOff>
      <xdr:row>9</xdr:row>
      <xdr:rowOff>178117</xdr:rowOff>
    </xdr:to>
    <xdr:sp macro="" textlink="">
      <xdr:nvSpPr>
        <xdr:cNvPr id="9" name="TL2.1"/>
        <xdr:cNvSpPr/>
      </xdr:nvSpPr>
      <xdr:spPr>
        <a:xfrm>
          <a:off x="20819269" y="5317808"/>
          <a:ext cx="160337" cy="146684"/>
        </a:xfrm>
        <a:prstGeom prst="roundRect">
          <a:avLst>
            <a:gd name="adj" fmla="val 10000"/>
          </a:avLst>
        </a:prstGeom>
        <a:noFill/>
        <a:ln w="635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FBFBF">
                  <a:alpha val="60000"/>
                </a:srgbClr>
              </a:solidFill>
            </a14:hiddenFill>
          </a:ext>
          <a:ext uri="{91240B29-F687-4F45-9708-019B960494DF}">
            <a14:hiddenLine xmlns:a14="http://schemas.microsoft.com/office/drawing/2010/main" w="6350" cap="flat" cmpd="sng" algn="ctr">
              <a:solidFill>
                <a:srgbClr val="7F7F7F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10</xdr:row>
      <xdr:rowOff>31433</xdr:rowOff>
    </xdr:from>
    <xdr:to>
      <xdr:col>41</xdr:col>
      <xdr:colOff>231775</xdr:colOff>
      <xdr:row>10</xdr:row>
      <xdr:rowOff>178117</xdr:rowOff>
    </xdr:to>
    <xdr:sp macro="" textlink="">
      <xdr:nvSpPr>
        <xdr:cNvPr id="11" name="TLR2.2"/>
        <xdr:cNvSpPr/>
      </xdr:nvSpPr>
      <xdr:spPr>
        <a:xfrm>
          <a:off x="21021675" y="5527358"/>
          <a:ext cx="231775" cy="146684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35719</xdr:colOff>
      <xdr:row>10</xdr:row>
      <xdr:rowOff>31433</xdr:rowOff>
    </xdr:from>
    <xdr:to>
      <xdr:col>41</xdr:col>
      <xdr:colOff>196056</xdr:colOff>
      <xdr:row>10</xdr:row>
      <xdr:rowOff>178117</xdr:rowOff>
    </xdr:to>
    <xdr:sp macro="" textlink="">
      <xdr:nvSpPr>
        <xdr:cNvPr id="12" name="TL2.2"/>
        <xdr:cNvSpPr/>
      </xdr:nvSpPr>
      <xdr:spPr>
        <a:xfrm>
          <a:off x="21057394" y="5527358"/>
          <a:ext cx="160337" cy="146684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11</xdr:row>
      <xdr:rowOff>31433</xdr:rowOff>
    </xdr:from>
    <xdr:to>
      <xdr:col>43</xdr:col>
      <xdr:colOff>231775</xdr:colOff>
      <xdr:row>11</xdr:row>
      <xdr:rowOff>178117</xdr:rowOff>
    </xdr:to>
    <xdr:sp macro="" textlink="">
      <xdr:nvSpPr>
        <xdr:cNvPr id="13" name="TLR2.3"/>
        <xdr:cNvSpPr/>
      </xdr:nvSpPr>
      <xdr:spPr>
        <a:xfrm>
          <a:off x="21497925" y="5736908"/>
          <a:ext cx="231775" cy="146684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35719</xdr:colOff>
      <xdr:row>11</xdr:row>
      <xdr:rowOff>31433</xdr:rowOff>
    </xdr:from>
    <xdr:to>
      <xdr:col>43</xdr:col>
      <xdr:colOff>196056</xdr:colOff>
      <xdr:row>11</xdr:row>
      <xdr:rowOff>178117</xdr:rowOff>
    </xdr:to>
    <xdr:sp macro="" textlink="">
      <xdr:nvSpPr>
        <xdr:cNvPr id="14" name="TL2.3"/>
        <xdr:cNvSpPr/>
      </xdr:nvSpPr>
      <xdr:spPr>
        <a:xfrm>
          <a:off x="21533644" y="5736908"/>
          <a:ext cx="160337" cy="146684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12</xdr:row>
      <xdr:rowOff>31433</xdr:rowOff>
    </xdr:from>
    <xdr:to>
      <xdr:col>48</xdr:col>
      <xdr:colOff>231775</xdr:colOff>
      <xdr:row>12</xdr:row>
      <xdr:rowOff>178117</xdr:rowOff>
    </xdr:to>
    <xdr:sp macro="" textlink="">
      <xdr:nvSpPr>
        <xdr:cNvPr id="15" name="TLR3"/>
        <xdr:cNvSpPr/>
      </xdr:nvSpPr>
      <xdr:spPr>
        <a:xfrm>
          <a:off x="21736050" y="5946458"/>
          <a:ext cx="1184275" cy="146684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12</xdr:row>
      <xdr:rowOff>31433</xdr:rowOff>
    </xdr:from>
    <xdr:to>
      <xdr:col>48</xdr:col>
      <xdr:colOff>196056</xdr:colOff>
      <xdr:row>12</xdr:row>
      <xdr:rowOff>178117</xdr:rowOff>
    </xdr:to>
    <xdr:sp macro="" textlink="">
      <xdr:nvSpPr>
        <xdr:cNvPr id="16" name="TL3"/>
        <xdr:cNvSpPr/>
      </xdr:nvSpPr>
      <xdr:spPr>
        <a:xfrm>
          <a:off x="21831300" y="5946458"/>
          <a:ext cx="1053306" cy="146684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13</xdr:row>
      <xdr:rowOff>31433</xdr:rowOff>
    </xdr:from>
    <xdr:to>
      <xdr:col>46</xdr:col>
      <xdr:colOff>231775</xdr:colOff>
      <xdr:row>13</xdr:row>
      <xdr:rowOff>178117</xdr:rowOff>
    </xdr:to>
    <xdr:sp macro="" textlink="">
      <xdr:nvSpPr>
        <xdr:cNvPr id="18" name="TLR3.1"/>
        <xdr:cNvSpPr/>
      </xdr:nvSpPr>
      <xdr:spPr>
        <a:xfrm>
          <a:off x="21974175" y="6156008"/>
          <a:ext cx="469900" cy="146684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35719</xdr:colOff>
      <xdr:row>13</xdr:row>
      <xdr:rowOff>31433</xdr:rowOff>
    </xdr:from>
    <xdr:to>
      <xdr:col>46</xdr:col>
      <xdr:colOff>196056</xdr:colOff>
      <xdr:row>13</xdr:row>
      <xdr:rowOff>178117</xdr:rowOff>
    </xdr:to>
    <xdr:sp macro="" textlink="">
      <xdr:nvSpPr>
        <xdr:cNvPr id="19" name="TL3.1"/>
        <xdr:cNvSpPr/>
      </xdr:nvSpPr>
      <xdr:spPr>
        <a:xfrm>
          <a:off x="22009894" y="6156008"/>
          <a:ext cx="398462" cy="146684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14</xdr:row>
      <xdr:rowOff>31433</xdr:rowOff>
    </xdr:from>
    <xdr:to>
      <xdr:col>50</xdr:col>
      <xdr:colOff>231775</xdr:colOff>
      <xdr:row>14</xdr:row>
      <xdr:rowOff>178118</xdr:rowOff>
    </xdr:to>
    <xdr:sp macro="" textlink="">
      <xdr:nvSpPr>
        <xdr:cNvPr id="20" name="TLR3.2"/>
        <xdr:cNvSpPr/>
      </xdr:nvSpPr>
      <xdr:spPr>
        <a:xfrm>
          <a:off x="21736050" y="6365558"/>
          <a:ext cx="166052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35719</xdr:colOff>
      <xdr:row>14</xdr:row>
      <xdr:rowOff>31433</xdr:rowOff>
    </xdr:from>
    <xdr:to>
      <xdr:col>50</xdr:col>
      <xdr:colOff>196056</xdr:colOff>
      <xdr:row>14</xdr:row>
      <xdr:rowOff>178118</xdr:rowOff>
    </xdr:to>
    <xdr:sp macro="" textlink="">
      <xdr:nvSpPr>
        <xdr:cNvPr id="21" name="TL3.2"/>
        <xdr:cNvSpPr/>
      </xdr:nvSpPr>
      <xdr:spPr>
        <a:xfrm>
          <a:off x="21771769" y="6365558"/>
          <a:ext cx="158908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15</xdr:row>
      <xdr:rowOff>31432</xdr:rowOff>
    </xdr:from>
    <xdr:to>
      <xdr:col>53</xdr:col>
      <xdr:colOff>231775</xdr:colOff>
      <xdr:row>15</xdr:row>
      <xdr:rowOff>178117</xdr:rowOff>
    </xdr:to>
    <xdr:sp macro="" textlink="">
      <xdr:nvSpPr>
        <xdr:cNvPr id="22" name="TLR3.2.1"/>
        <xdr:cNvSpPr/>
      </xdr:nvSpPr>
      <xdr:spPr>
        <a:xfrm>
          <a:off x="22926675" y="6575107"/>
          <a:ext cx="118427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35719</xdr:colOff>
      <xdr:row>15</xdr:row>
      <xdr:rowOff>31432</xdr:rowOff>
    </xdr:from>
    <xdr:to>
      <xdr:col>53</xdr:col>
      <xdr:colOff>196056</xdr:colOff>
      <xdr:row>15</xdr:row>
      <xdr:rowOff>178117</xdr:rowOff>
    </xdr:to>
    <xdr:sp macro="" textlink="">
      <xdr:nvSpPr>
        <xdr:cNvPr id="23" name="TL3.2.1"/>
        <xdr:cNvSpPr/>
      </xdr:nvSpPr>
      <xdr:spPr>
        <a:xfrm>
          <a:off x="22962394" y="6575107"/>
          <a:ext cx="111283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16</xdr:row>
      <xdr:rowOff>31432</xdr:rowOff>
    </xdr:from>
    <xdr:to>
      <xdr:col>57</xdr:col>
      <xdr:colOff>231775</xdr:colOff>
      <xdr:row>16</xdr:row>
      <xdr:rowOff>178117</xdr:rowOff>
    </xdr:to>
    <xdr:sp macro="" textlink="">
      <xdr:nvSpPr>
        <xdr:cNvPr id="24" name="TLR3.2.2"/>
        <xdr:cNvSpPr/>
      </xdr:nvSpPr>
      <xdr:spPr>
        <a:xfrm>
          <a:off x="21736050" y="6784657"/>
          <a:ext cx="3327400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95251</xdr:colOff>
      <xdr:row>16</xdr:row>
      <xdr:rowOff>31432</xdr:rowOff>
    </xdr:from>
    <xdr:to>
      <xdr:col>57</xdr:col>
      <xdr:colOff>136526</xdr:colOff>
      <xdr:row>16</xdr:row>
      <xdr:rowOff>178117</xdr:rowOff>
    </xdr:to>
    <xdr:sp macro="" textlink="">
      <xdr:nvSpPr>
        <xdr:cNvPr id="25" name="TL3.2.2"/>
        <xdr:cNvSpPr/>
      </xdr:nvSpPr>
      <xdr:spPr>
        <a:xfrm>
          <a:off x="21831301" y="6784657"/>
          <a:ext cx="3136900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0</xdr:colOff>
      <xdr:row>17</xdr:row>
      <xdr:rowOff>31432</xdr:rowOff>
    </xdr:from>
    <xdr:to>
      <xdr:col>61</xdr:col>
      <xdr:colOff>231775</xdr:colOff>
      <xdr:row>17</xdr:row>
      <xdr:rowOff>178117</xdr:rowOff>
    </xdr:to>
    <xdr:sp macro="" textlink="">
      <xdr:nvSpPr>
        <xdr:cNvPr id="28" name="TLR4"/>
        <xdr:cNvSpPr/>
      </xdr:nvSpPr>
      <xdr:spPr>
        <a:xfrm>
          <a:off x="25069800" y="6994207"/>
          <a:ext cx="946150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35720</xdr:colOff>
      <xdr:row>17</xdr:row>
      <xdr:rowOff>31432</xdr:rowOff>
    </xdr:from>
    <xdr:to>
      <xdr:col>61</xdr:col>
      <xdr:colOff>136526</xdr:colOff>
      <xdr:row>17</xdr:row>
      <xdr:rowOff>178117</xdr:rowOff>
    </xdr:to>
    <xdr:sp macro="" textlink="">
      <xdr:nvSpPr>
        <xdr:cNvPr id="29" name="TL4"/>
        <xdr:cNvSpPr/>
      </xdr:nvSpPr>
      <xdr:spPr>
        <a:xfrm>
          <a:off x="25105520" y="6994207"/>
          <a:ext cx="815181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0</xdr:colOff>
      <xdr:row>18</xdr:row>
      <xdr:rowOff>31432</xdr:rowOff>
    </xdr:from>
    <xdr:to>
      <xdr:col>61</xdr:col>
      <xdr:colOff>231775</xdr:colOff>
      <xdr:row>18</xdr:row>
      <xdr:rowOff>178117</xdr:rowOff>
    </xdr:to>
    <xdr:sp macro="" textlink="">
      <xdr:nvSpPr>
        <xdr:cNvPr id="31" name="TLR4.2"/>
        <xdr:cNvSpPr/>
      </xdr:nvSpPr>
      <xdr:spPr>
        <a:xfrm>
          <a:off x="25069800" y="7203757"/>
          <a:ext cx="946150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35719</xdr:colOff>
      <xdr:row>18</xdr:row>
      <xdr:rowOff>31432</xdr:rowOff>
    </xdr:from>
    <xdr:to>
      <xdr:col>61</xdr:col>
      <xdr:colOff>196056</xdr:colOff>
      <xdr:row>18</xdr:row>
      <xdr:rowOff>178117</xdr:rowOff>
    </xdr:to>
    <xdr:sp macro="" textlink="">
      <xdr:nvSpPr>
        <xdr:cNvPr id="32" name="TL4.2"/>
        <xdr:cNvSpPr/>
      </xdr:nvSpPr>
      <xdr:spPr>
        <a:xfrm>
          <a:off x="25105519" y="7203757"/>
          <a:ext cx="874712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0</xdr:colOff>
      <xdr:row>19</xdr:row>
      <xdr:rowOff>31432</xdr:rowOff>
    </xdr:from>
    <xdr:to>
      <xdr:col>59</xdr:col>
      <xdr:colOff>231775</xdr:colOff>
      <xdr:row>19</xdr:row>
      <xdr:rowOff>178117</xdr:rowOff>
    </xdr:to>
    <xdr:sp macro="" textlink="">
      <xdr:nvSpPr>
        <xdr:cNvPr id="33" name="TLR4.3"/>
        <xdr:cNvSpPr/>
      </xdr:nvSpPr>
      <xdr:spPr>
        <a:xfrm>
          <a:off x="25307925" y="7413307"/>
          <a:ext cx="23177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35719</xdr:colOff>
      <xdr:row>19</xdr:row>
      <xdr:rowOff>31432</xdr:rowOff>
    </xdr:from>
    <xdr:to>
      <xdr:col>59</xdr:col>
      <xdr:colOff>196056</xdr:colOff>
      <xdr:row>19</xdr:row>
      <xdr:rowOff>178117</xdr:rowOff>
    </xdr:to>
    <xdr:sp macro="" textlink="">
      <xdr:nvSpPr>
        <xdr:cNvPr id="34" name="TL4.3"/>
        <xdr:cNvSpPr/>
      </xdr:nvSpPr>
      <xdr:spPr>
        <a:xfrm>
          <a:off x="25343644" y="7413307"/>
          <a:ext cx="16033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60</xdr:col>
      <xdr:colOff>0</xdr:colOff>
      <xdr:row>20</xdr:row>
      <xdr:rowOff>31432</xdr:rowOff>
    </xdr:from>
    <xdr:to>
      <xdr:col>60</xdr:col>
      <xdr:colOff>231775</xdr:colOff>
      <xdr:row>20</xdr:row>
      <xdr:rowOff>178117</xdr:rowOff>
    </xdr:to>
    <xdr:sp macro="" textlink="">
      <xdr:nvSpPr>
        <xdr:cNvPr id="35" name="TLR4.4"/>
        <xdr:cNvSpPr/>
      </xdr:nvSpPr>
      <xdr:spPr>
        <a:xfrm>
          <a:off x="25546050" y="7622857"/>
          <a:ext cx="23177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60</xdr:col>
      <xdr:colOff>35719</xdr:colOff>
      <xdr:row>20</xdr:row>
      <xdr:rowOff>31432</xdr:rowOff>
    </xdr:from>
    <xdr:to>
      <xdr:col>60</xdr:col>
      <xdr:colOff>196056</xdr:colOff>
      <xdr:row>20</xdr:row>
      <xdr:rowOff>178117</xdr:rowOff>
    </xdr:to>
    <xdr:sp macro="" textlink="">
      <xdr:nvSpPr>
        <xdr:cNvPr id="36" name="TL4.4"/>
        <xdr:cNvSpPr/>
      </xdr:nvSpPr>
      <xdr:spPr>
        <a:xfrm>
          <a:off x="25581769" y="7622857"/>
          <a:ext cx="16033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63</xdr:col>
      <xdr:colOff>0</xdr:colOff>
      <xdr:row>21</xdr:row>
      <xdr:rowOff>31432</xdr:rowOff>
    </xdr:from>
    <xdr:to>
      <xdr:col>63</xdr:col>
      <xdr:colOff>231775</xdr:colOff>
      <xdr:row>21</xdr:row>
      <xdr:rowOff>178117</xdr:rowOff>
    </xdr:to>
    <xdr:sp macro="" textlink="">
      <xdr:nvSpPr>
        <xdr:cNvPr id="37" name="TLR4.5"/>
        <xdr:cNvSpPr/>
      </xdr:nvSpPr>
      <xdr:spPr>
        <a:xfrm>
          <a:off x="26260425" y="7832407"/>
          <a:ext cx="23177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63</xdr:col>
      <xdr:colOff>35719</xdr:colOff>
      <xdr:row>21</xdr:row>
      <xdr:rowOff>31432</xdr:rowOff>
    </xdr:from>
    <xdr:to>
      <xdr:col>63</xdr:col>
      <xdr:colOff>196056</xdr:colOff>
      <xdr:row>21</xdr:row>
      <xdr:rowOff>178117</xdr:rowOff>
    </xdr:to>
    <xdr:sp macro="" textlink="">
      <xdr:nvSpPr>
        <xdr:cNvPr id="38" name="TL4.5"/>
        <xdr:cNvSpPr/>
      </xdr:nvSpPr>
      <xdr:spPr>
        <a:xfrm>
          <a:off x="26296144" y="7832407"/>
          <a:ext cx="160337" cy="146685"/>
        </a:xfrm>
        <a:prstGeom prst="roundRect">
          <a:avLst>
            <a:gd name="adj" fmla="val 10000"/>
          </a:avLst>
        </a:prstGeom>
        <a:solidFill>
          <a:srgbClr val="E78CA0">
            <a:alpha val="60000"/>
          </a:srgbClr>
        </a:solidFill>
        <a:ln w="6350" cap="flat" cmpd="sng" algn="ctr">
          <a:solidFill>
            <a:srgbClr val="73182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22</xdr:row>
      <xdr:rowOff>31432</xdr:rowOff>
    </xdr:from>
    <xdr:to>
      <xdr:col>100</xdr:col>
      <xdr:colOff>231775</xdr:colOff>
      <xdr:row>22</xdr:row>
      <xdr:rowOff>178117</xdr:rowOff>
    </xdr:to>
    <xdr:sp macro="" textlink="">
      <xdr:nvSpPr>
        <xdr:cNvPr id="39" name="TLR5"/>
        <xdr:cNvSpPr/>
      </xdr:nvSpPr>
      <xdr:spPr>
        <a:xfrm>
          <a:off x="31022925" y="8041957"/>
          <a:ext cx="4279900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35720</xdr:colOff>
      <xdr:row>22</xdr:row>
      <xdr:rowOff>31432</xdr:rowOff>
    </xdr:from>
    <xdr:to>
      <xdr:col>100</xdr:col>
      <xdr:colOff>136526</xdr:colOff>
      <xdr:row>22</xdr:row>
      <xdr:rowOff>178117</xdr:rowOff>
    </xdr:to>
    <xdr:sp macro="" textlink="">
      <xdr:nvSpPr>
        <xdr:cNvPr id="40" name="TL5"/>
        <xdr:cNvSpPr/>
      </xdr:nvSpPr>
      <xdr:spPr>
        <a:xfrm>
          <a:off x="31058645" y="8041957"/>
          <a:ext cx="4148931" cy="146685"/>
        </a:xfrm>
        <a:prstGeom prst="roundRect">
          <a:avLst>
            <a:gd name="adj" fmla="val 10000"/>
          </a:avLst>
        </a:prstGeom>
        <a:solidFill>
          <a:srgbClr val="51C0EE">
            <a:alpha val="60000"/>
          </a:srgbClr>
        </a:solidFill>
        <a:ln w="6350" cap="flat" cmpd="sng" algn="ctr">
          <a:solidFill>
            <a:srgbClr val="1180A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63</xdr:col>
      <xdr:colOff>0</xdr:colOff>
      <xdr:row>23</xdr:row>
      <xdr:rowOff>31432</xdr:rowOff>
    </xdr:from>
    <xdr:to>
      <xdr:col>69</xdr:col>
      <xdr:colOff>231775</xdr:colOff>
      <xdr:row>23</xdr:row>
      <xdr:rowOff>178117</xdr:rowOff>
    </xdr:to>
    <xdr:sp macro="" textlink="">
      <xdr:nvSpPr>
        <xdr:cNvPr id="42" name="TLR6"/>
        <xdr:cNvSpPr/>
      </xdr:nvSpPr>
      <xdr:spPr>
        <a:xfrm>
          <a:off x="26260425" y="8251507"/>
          <a:ext cx="166052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63</xdr:col>
      <xdr:colOff>35719</xdr:colOff>
      <xdr:row>23</xdr:row>
      <xdr:rowOff>31432</xdr:rowOff>
    </xdr:from>
    <xdr:to>
      <xdr:col>69</xdr:col>
      <xdr:colOff>196056</xdr:colOff>
      <xdr:row>23</xdr:row>
      <xdr:rowOff>178117</xdr:rowOff>
    </xdr:to>
    <xdr:sp macro="" textlink="">
      <xdr:nvSpPr>
        <xdr:cNvPr id="43" name="TL6"/>
        <xdr:cNvSpPr/>
      </xdr:nvSpPr>
      <xdr:spPr>
        <a:xfrm>
          <a:off x="26296144" y="8251507"/>
          <a:ext cx="1589087" cy="146685"/>
        </a:xfrm>
        <a:prstGeom prst="roundRect">
          <a:avLst>
            <a:gd name="adj" fmla="val 10000"/>
          </a:avLst>
        </a:prstGeom>
        <a:solidFill>
          <a:srgbClr val="51C0EE">
            <a:alpha val="60000"/>
          </a:srgbClr>
        </a:solidFill>
        <a:ln w="6350" cap="flat" cmpd="sng" algn="ctr">
          <a:solidFill>
            <a:srgbClr val="1180A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0</xdr:colOff>
      <xdr:row>24</xdr:row>
      <xdr:rowOff>31432</xdr:rowOff>
    </xdr:from>
    <xdr:to>
      <xdr:col>78</xdr:col>
      <xdr:colOff>231775</xdr:colOff>
      <xdr:row>24</xdr:row>
      <xdr:rowOff>178117</xdr:rowOff>
    </xdr:to>
    <xdr:sp macro="" textlink="">
      <xdr:nvSpPr>
        <xdr:cNvPr id="44" name="TLR7"/>
        <xdr:cNvSpPr/>
      </xdr:nvSpPr>
      <xdr:spPr>
        <a:xfrm>
          <a:off x="28879800" y="8461057"/>
          <a:ext cx="118427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35719</xdr:colOff>
      <xdr:row>24</xdr:row>
      <xdr:rowOff>31432</xdr:rowOff>
    </xdr:from>
    <xdr:to>
      <xdr:col>78</xdr:col>
      <xdr:colOff>136525</xdr:colOff>
      <xdr:row>24</xdr:row>
      <xdr:rowOff>178117</xdr:rowOff>
    </xdr:to>
    <xdr:sp macro="" textlink="">
      <xdr:nvSpPr>
        <xdr:cNvPr id="45" name="TL7"/>
        <xdr:cNvSpPr/>
      </xdr:nvSpPr>
      <xdr:spPr>
        <a:xfrm>
          <a:off x="28915519" y="8461057"/>
          <a:ext cx="1053306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0</xdr:colOff>
      <xdr:row>25</xdr:row>
      <xdr:rowOff>31432</xdr:rowOff>
    </xdr:from>
    <xdr:to>
      <xdr:col>74</xdr:col>
      <xdr:colOff>231775</xdr:colOff>
      <xdr:row>25</xdr:row>
      <xdr:rowOff>178117</xdr:rowOff>
    </xdr:to>
    <xdr:sp macro="" textlink="">
      <xdr:nvSpPr>
        <xdr:cNvPr id="47" name="TLR8"/>
        <xdr:cNvSpPr/>
      </xdr:nvSpPr>
      <xdr:spPr>
        <a:xfrm>
          <a:off x="28879800" y="8670607"/>
          <a:ext cx="23177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35719</xdr:colOff>
      <xdr:row>25</xdr:row>
      <xdr:rowOff>31432</xdr:rowOff>
    </xdr:from>
    <xdr:to>
      <xdr:col>74</xdr:col>
      <xdr:colOff>196056</xdr:colOff>
      <xdr:row>25</xdr:row>
      <xdr:rowOff>178117</xdr:rowOff>
    </xdr:to>
    <xdr:sp macro="" textlink="">
      <xdr:nvSpPr>
        <xdr:cNvPr id="48" name="TL8"/>
        <xdr:cNvSpPr/>
      </xdr:nvSpPr>
      <xdr:spPr>
        <a:xfrm>
          <a:off x="28915519" y="8670607"/>
          <a:ext cx="16033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0</xdr:colOff>
      <xdr:row>26</xdr:row>
      <xdr:rowOff>31432</xdr:rowOff>
    </xdr:from>
    <xdr:to>
      <xdr:col>80</xdr:col>
      <xdr:colOff>231775</xdr:colOff>
      <xdr:row>26</xdr:row>
      <xdr:rowOff>178117</xdr:rowOff>
    </xdr:to>
    <xdr:sp macro="" textlink="">
      <xdr:nvSpPr>
        <xdr:cNvPr id="49" name="TLR8.1"/>
        <xdr:cNvSpPr/>
      </xdr:nvSpPr>
      <xdr:spPr>
        <a:xfrm>
          <a:off x="28879800" y="8880157"/>
          <a:ext cx="166052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35719</xdr:colOff>
      <xdr:row>26</xdr:row>
      <xdr:rowOff>31432</xdr:rowOff>
    </xdr:from>
    <xdr:to>
      <xdr:col>80</xdr:col>
      <xdr:colOff>196056</xdr:colOff>
      <xdr:row>26</xdr:row>
      <xdr:rowOff>178117</xdr:rowOff>
    </xdr:to>
    <xdr:sp macro="" textlink="">
      <xdr:nvSpPr>
        <xdr:cNvPr id="50" name="TL8.1"/>
        <xdr:cNvSpPr/>
      </xdr:nvSpPr>
      <xdr:spPr>
        <a:xfrm>
          <a:off x="28915519" y="8880157"/>
          <a:ext cx="158908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79</xdr:col>
      <xdr:colOff>0</xdr:colOff>
      <xdr:row>27</xdr:row>
      <xdr:rowOff>31432</xdr:rowOff>
    </xdr:from>
    <xdr:to>
      <xdr:col>83</xdr:col>
      <xdr:colOff>231775</xdr:colOff>
      <xdr:row>27</xdr:row>
      <xdr:rowOff>178117</xdr:rowOff>
    </xdr:to>
    <xdr:sp macro="" textlink="">
      <xdr:nvSpPr>
        <xdr:cNvPr id="51" name="TLR8.2"/>
        <xdr:cNvSpPr/>
      </xdr:nvSpPr>
      <xdr:spPr>
        <a:xfrm>
          <a:off x="30070425" y="9089707"/>
          <a:ext cx="118427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79</xdr:col>
      <xdr:colOff>35719</xdr:colOff>
      <xdr:row>27</xdr:row>
      <xdr:rowOff>31432</xdr:rowOff>
    </xdr:from>
    <xdr:to>
      <xdr:col>83</xdr:col>
      <xdr:colOff>196056</xdr:colOff>
      <xdr:row>27</xdr:row>
      <xdr:rowOff>178117</xdr:rowOff>
    </xdr:to>
    <xdr:sp macro="" textlink="">
      <xdr:nvSpPr>
        <xdr:cNvPr id="52" name="TL8.2"/>
        <xdr:cNvSpPr/>
      </xdr:nvSpPr>
      <xdr:spPr>
        <a:xfrm>
          <a:off x="30106144" y="9089707"/>
          <a:ext cx="111283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0</xdr:colOff>
      <xdr:row>28</xdr:row>
      <xdr:rowOff>31432</xdr:rowOff>
    </xdr:from>
    <xdr:to>
      <xdr:col>87</xdr:col>
      <xdr:colOff>231775</xdr:colOff>
      <xdr:row>28</xdr:row>
      <xdr:rowOff>178117</xdr:rowOff>
    </xdr:to>
    <xdr:sp macro="" textlink="">
      <xdr:nvSpPr>
        <xdr:cNvPr id="53" name="TLR8.3"/>
        <xdr:cNvSpPr/>
      </xdr:nvSpPr>
      <xdr:spPr>
        <a:xfrm>
          <a:off x="29594175" y="9299257"/>
          <a:ext cx="261302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35719</xdr:colOff>
      <xdr:row>28</xdr:row>
      <xdr:rowOff>31432</xdr:rowOff>
    </xdr:from>
    <xdr:to>
      <xdr:col>87</xdr:col>
      <xdr:colOff>196056</xdr:colOff>
      <xdr:row>28</xdr:row>
      <xdr:rowOff>178117</xdr:rowOff>
    </xdr:to>
    <xdr:sp macro="" textlink="">
      <xdr:nvSpPr>
        <xdr:cNvPr id="54" name="TL8.3"/>
        <xdr:cNvSpPr/>
      </xdr:nvSpPr>
      <xdr:spPr>
        <a:xfrm>
          <a:off x="29629894" y="9299257"/>
          <a:ext cx="254158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88</xdr:col>
      <xdr:colOff>0</xdr:colOff>
      <xdr:row>29</xdr:row>
      <xdr:rowOff>31432</xdr:rowOff>
    </xdr:from>
    <xdr:to>
      <xdr:col>91</xdr:col>
      <xdr:colOff>231775</xdr:colOff>
      <xdr:row>29</xdr:row>
      <xdr:rowOff>178117</xdr:rowOff>
    </xdr:to>
    <xdr:sp macro="" textlink="">
      <xdr:nvSpPr>
        <xdr:cNvPr id="55" name="TLR8.4"/>
        <xdr:cNvSpPr/>
      </xdr:nvSpPr>
      <xdr:spPr>
        <a:xfrm>
          <a:off x="32213550" y="9508807"/>
          <a:ext cx="946150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88</xdr:col>
      <xdr:colOff>35719</xdr:colOff>
      <xdr:row>29</xdr:row>
      <xdr:rowOff>31432</xdr:rowOff>
    </xdr:from>
    <xdr:to>
      <xdr:col>91</xdr:col>
      <xdr:colOff>196056</xdr:colOff>
      <xdr:row>29</xdr:row>
      <xdr:rowOff>178117</xdr:rowOff>
    </xdr:to>
    <xdr:sp macro="" textlink="">
      <xdr:nvSpPr>
        <xdr:cNvPr id="56" name="TL8.4"/>
        <xdr:cNvSpPr/>
      </xdr:nvSpPr>
      <xdr:spPr>
        <a:xfrm>
          <a:off x="32249269" y="9508807"/>
          <a:ext cx="874712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88</xdr:col>
      <xdr:colOff>0</xdr:colOff>
      <xdr:row>30</xdr:row>
      <xdr:rowOff>31432</xdr:rowOff>
    </xdr:from>
    <xdr:to>
      <xdr:col>91</xdr:col>
      <xdr:colOff>231775</xdr:colOff>
      <xdr:row>30</xdr:row>
      <xdr:rowOff>178117</xdr:rowOff>
    </xdr:to>
    <xdr:sp macro="" textlink="">
      <xdr:nvSpPr>
        <xdr:cNvPr id="57" name="TLR8.5"/>
        <xdr:cNvSpPr/>
      </xdr:nvSpPr>
      <xdr:spPr>
        <a:xfrm>
          <a:off x="32213550" y="9718357"/>
          <a:ext cx="946150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88</xdr:col>
      <xdr:colOff>35719</xdr:colOff>
      <xdr:row>30</xdr:row>
      <xdr:rowOff>31432</xdr:rowOff>
    </xdr:from>
    <xdr:to>
      <xdr:col>91</xdr:col>
      <xdr:colOff>196056</xdr:colOff>
      <xdr:row>30</xdr:row>
      <xdr:rowOff>178117</xdr:rowOff>
    </xdr:to>
    <xdr:sp macro="" textlink="">
      <xdr:nvSpPr>
        <xdr:cNvPr id="58" name="TL8.5"/>
        <xdr:cNvSpPr/>
      </xdr:nvSpPr>
      <xdr:spPr>
        <a:xfrm>
          <a:off x="32249269" y="9718357"/>
          <a:ext cx="874712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0</xdr:colOff>
      <xdr:row>31</xdr:row>
      <xdr:rowOff>31432</xdr:rowOff>
    </xdr:from>
    <xdr:to>
      <xdr:col>89</xdr:col>
      <xdr:colOff>231775</xdr:colOff>
      <xdr:row>31</xdr:row>
      <xdr:rowOff>178117</xdr:rowOff>
    </xdr:to>
    <xdr:sp macro="" textlink="">
      <xdr:nvSpPr>
        <xdr:cNvPr id="59" name="TLR8.5.1"/>
        <xdr:cNvSpPr/>
      </xdr:nvSpPr>
      <xdr:spPr>
        <a:xfrm>
          <a:off x="32451675" y="9927907"/>
          <a:ext cx="23177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35719</xdr:colOff>
      <xdr:row>31</xdr:row>
      <xdr:rowOff>31432</xdr:rowOff>
    </xdr:from>
    <xdr:to>
      <xdr:col>89</xdr:col>
      <xdr:colOff>196056</xdr:colOff>
      <xdr:row>31</xdr:row>
      <xdr:rowOff>178117</xdr:rowOff>
    </xdr:to>
    <xdr:sp macro="" textlink="">
      <xdr:nvSpPr>
        <xdr:cNvPr id="60" name="TL8.5.1"/>
        <xdr:cNvSpPr/>
      </xdr:nvSpPr>
      <xdr:spPr>
        <a:xfrm>
          <a:off x="32487394" y="9927907"/>
          <a:ext cx="16033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90</xdr:col>
      <xdr:colOff>0</xdr:colOff>
      <xdr:row>32</xdr:row>
      <xdr:rowOff>31432</xdr:rowOff>
    </xdr:from>
    <xdr:to>
      <xdr:col>90</xdr:col>
      <xdr:colOff>231775</xdr:colOff>
      <xdr:row>32</xdr:row>
      <xdr:rowOff>178117</xdr:rowOff>
    </xdr:to>
    <xdr:sp macro="" textlink="">
      <xdr:nvSpPr>
        <xdr:cNvPr id="61" name="TLR8.5.1.1"/>
        <xdr:cNvSpPr/>
      </xdr:nvSpPr>
      <xdr:spPr>
        <a:xfrm>
          <a:off x="32689800" y="10137457"/>
          <a:ext cx="23177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90</xdr:col>
      <xdr:colOff>35719</xdr:colOff>
      <xdr:row>32</xdr:row>
      <xdr:rowOff>31432</xdr:rowOff>
    </xdr:from>
    <xdr:to>
      <xdr:col>90</xdr:col>
      <xdr:colOff>196056</xdr:colOff>
      <xdr:row>32</xdr:row>
      <xdr:rowOff>178117</xdr:rowOff>
    </xdr:to>
    <xdr:sp macro="" textlink="">
      <xdr:nvSpPr>
        <xdr:cNvPr id="62" name="TL8.5.1.1"/>
        <xdr:cNvSpPr/>
      </xdr:nvSpPr>
      <xdr:spPr>
        <a:xfrm>
          <a:off x="32725519" y="10137457"/>
          <a:ext cx="16033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91</xdr:col>
      <xdr:colOff>0</xdr:colOff>
      <xdr:row>33</xdr:row>
      <xdr:rowOff>31432</xdr:rowOff>
    </xdr:from>
    <xdr:to>
      <xdr:col>91</xdr:col>
      <xdr:colOff>231775</xdr:colOff>
      <xdr:row>33</xdr:row>
      <xdr:rowOff>178117</xdr:rowOff>
    </xdr:to>
    <xdr:sp macro="" textlink="">
      <xdr:nvSpPr>
        <xdr:cNvPr id="63" name="TLR8.5.1.2"/>
        <xdr:cNvSpPr/>
      </xdr:nvSpPr>
      <xdr:spPr>
        <a:xfrm>
          <a:off x="32927925" y="10347007"/>
          <a:ext cx="23177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91</xdr:col>
      <xdr:colOff>35719</xdr:colOff>
      <xdr:row>33</xdr:row>
      <xdr:rowOff>31432</xdr:rowOff>
    </xdr:from>
    <xdr:to>
      <xdr:col>91</xdr:col>
      <xdr:colOff>196056</xdr:colOff>
      <xdr:row>33</xdr:row>
      <xdr:rowOff>178117</xdr:rowOff>
    </xdr:to>
    <xdr:sp macro="" textlink="">
      <xdr:nvSpPr>
        <xdr:cNvPr id="448" name="TL8.5.1.2"/>
        <xdr:cNvSpPr/>
      </xdr:nvSpPr>
      <xdr:spPr>
        <a:xfrm>
          <a:off x="32963644" y="10347007"/>
          <a:ext cx="16033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91</xdr:col>
      <xdr:colOff>0</xdr:colOff>
      <xdr:row>34</xdr:row>
      <xdr:rowOff>31432</xdr:rowOff>
    </xdr:from>
    <xdr:to>
      <xdr:col>93</xdr:col>
      <xdr:colOff>231775</xdr:colOff>
      <xdr:row>34</xdr:row>
      <xdr:rowOff>178117</xdr:rowOff>
    </xdr:to>
    <xdr:sp macro="" textlink="">
      <xdr:nvSpPr>
        <xdr:cNvPr id="449" name="TLR8.5.1.2.1"/>
        <xdr:cNvSpPr/>
      </xdr:nvSpPr>
      <xdr:spPr>
        <a:xfrm>
          <a:off x="32927925" y="10556557"/>
          <a:ext cx="70802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91</xdr:col>
      <xdr:colOff>35719</xdr:colOff>
      <xdr:row>34</xdr:row>
      <xdr:rowOff>31432</xdr:rowOff>
    </xdr:from>
    <xdr:to>
      <xdr:col>93</xdr:col>
      <xdr:colOff>196056</xdr:colOff>
      <xdr:row>34</xdr:row>
      <xdr:rowOff>178117</xdr:rowOff>
    </xdr:to>
    <xdr:sp macro="" textlink="">
      <xdr:nvSpPr>
        <xdr:cNvPr id="450" name="TL8.5.1.2.1"/>
        <xdr:cNvSpPr/>
      </xdr:nvSpPr>
      <xdr:spPr>
        <a:xfrm>
          <a:off x="32963644" y="10556557"/>
          <a:ext cx="636587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93</xdr:col>
      <xdr:colOff>0</xdr:colOff>
      <xdr:row>35</xdr:row>
      <xdr:rowOff>31432</xdr:rowOff>
    </xdr:from>
    <xdr:to>
      <xdr:col>95</xdr:col>
      <xdr:colOff>231775</xdr:colOff>
      <xdr:row>35</xdr:row>
      <xdr:rowOff>178117</xdr:rowOff>
    </xdr:to>
    <xdr:sp macro="" textlink="">
      <xdr:nvSpPr>
        <xdr:cNvPr id="451" name="TLR8.5.1.2.2"/>
        <xdr:cNvSpPr/>
      </xdr:nvSpPr>
      <xdr:spPr>
        <a:xfrm>
          <a:off x="33404175" y="10766107"/>
          <a:ext cx="708025" cy="14668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>
                  <a:alpha val="0"/>
                </a:schemeClr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  <a:alpha val="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93</xdr:col>
      <xdr:colOff>35719</xdr:colOff>
      <xdr:row>35</xdr:row>
      <xdr:rowOff>31432</xdr:rowOff>
    </xdr:from>
    <xdr:to>
      <xdr:col>95</xdr:col>
      <xdr:colOff>136525</xdr:colOff>
      <xdr:row>35</xdr:row>
      <xdr:rowOff>178117</xdr:rowOff>
    </xdr:to>
    <xdr:sp macro="" textlink="">
      <xdr:nvSpPr>
        <xdr:cNvPr id="452" name="TL8.5.1.2.2"/>
        <xdr:cNvSpPr/>
      </xdr:nvSpPr>
      <xdr:spPr>
        <a:xfrm>
          <a:off x="33439894" y="10766107"/>
          <a:ext cx="577056" cy="146685"/>
        </a:xfrm>
        <a:prstGeom prst="roundRect">
          <a:avLst>
            <a:gd name="adj" fmla="val 10000"/>
          </a:avLst>
        </a:prstGeom>
        <a:solidFill>
          <a:srgbClr val="BFBFBF">
            <a:alpha val="60000"/>
          </a:srgbClr>
        </a:solidFill>
        <a:ln w="6350" cap="flat" cmpd="sng" algn="ctr">
          <a:solidFill>
            <a:srgbClr val="7F7F7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238124</xdr:colOff>
      <xdr:row>7</xdr:row>
      <xdr:rowOff>104775</xdr:rowOff>
    </xdr:from>
    <xdr:to>
      <xdr:col>161</xdr:col>
      <xdr:colOff>231774</xdr:colOff>
      <xdr:row>8</xdr:row>
      <xdr:rowOff>104775</xdr:rowOff>
    </xdr:to>
    <xdr:cxnSp macro="">
      <xdr:nvCxnSpPr>
        <xdr:cNvPr id="454" name="CL1_2"/>
        <xdr:cNvCxnSpPr>
          <a:stCxn id="5" idx="1"/>
          <a:endCxn id="2" idx="3"/>
        </xdr:cNvCxnSpPr>
      </xdr:nvCxnSpPr>
      <xdr:spPr>
        <a:xfrm rot="10800000" flipH="1">
          <a:off x="20545424" y="4972050"/>
          <a:ext cx="29283025" cy="209550"/>
        </a:xfrm>
        <a:prstGeom prst="bentConnector5">
          <a:avLst>
            <a:gd name="adj1" fmla="val -781"/>
            <a:gd name="adj2" fmla="val 50000"/>
            <a:gd name="adj3" fmla="val 100781"/>
          </a:avLst>
        </a:prstGeom>
        <a:ln w="3175" cap="flat" cmpd="sng" algn="ctr">
          <a:solidFill>
            <a:srgbClr val="AD2442"/>
          </a:solidFill>
          <a:prstDash val="sysDash"/>
          <a:miter lim="800000"/>
          <a:headEnd type="triangle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231775</xdr:colOff>
      <xdr:row>9</xdr:row>
      <xdr:rowOff>104775</xdr:rowOff>
    </xdr:from>
    <xdr:to>
      <xdr:col>41</xdr:col>
      <xdr:colOff>0</xdr:colOff>
      <xdr:row>10</xdr:row>
      <xdr:rowOff>104775</xdr:rowOff>
    </xdr:to>
    <xdr:cxnSp macro="">
      <xdr:nvCxnSpPr>
        <xdr:cNvPr id="455" name="CL1_2.2"/>
        <xdr:cNvCxnSpPr>
          <a:stCxn id="11" idx="1"/>
          <a:endCxn id="8" idx="3"/>
        </xdr:cNvCxnSpPr>
      </xdr:nvCxnSpPr>
      <xdr:spPr>
        <a:xfrm rot="10800000">
          <a:off x="21015325" y="5391150"/>
          <a:ext cx="6350" cy="209550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AD2442"/>
          </a:solidFill>
          <a:prstDash val="sysDash"/>
          <a:miter lim="800000"/>
          <a:headEnd type="triangle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231776</xdr:colOff>
      <xdr:row>8</xdr:row>
      <xdr:rowOff>104775</xdr:rowOff>
    </xdr:from>
    <xdr:to>
      <xdr:col>44</xdr:col>
      <xdr:colOff>1</xdr:colOff>
      <xdr:row>12</xdr:row>
      <xdr:rowOff>104775</xdr:rowOff>
    </xdr:to>
    <xdr:cxnSp macro="">
      <xdr:nvCxnSpPr>
        <xdr:cNvPr id="456" name="CL1_3"/>
        <xdr:cNvCxnSpPr>
          <a:stCxn id="15" idx="1"/>
          <a:endCxn id="5" idx="3"/>
        </xdr:cNvCxnSpPr>
      </xdr:nvCxnSpPr>
      <xdr:spPr>
        <a:xfrm rot="10800000">
          <a:off x="21491576" y="5181600"/>
          <a:ext cx="244475" cy="838200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AD2442"/>
          </a:solidFill>
          <a:prstDash val="sysDash"/>
          <a:miter lim="800000"/>
          <a:headEnd type="triangle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231776</xdr:colOff>
      <xdr:row>12</xdr:row>
      <xdr:rowOff>104775</xdr:rowOff>
    </xdr:from>
    <xdr:to>
      <xdr:col>58</xdr:col>
      <xdr:colOff>1</xdr:colOff>
      <xdr:row>17</xdr:row>
      <xdr:rowOff>104775</xdr:rowOff>
    </xdr:to>
    <xdr:cxnSp macro="">
      <xdr:nvCxnSpPr>
        <xdr:cNvPr id="457" name="CL1_4"/>
        <xdr:cNvCxnSpPr>
          <a:stCxn id="28" idx="1"/>
          <a:endCxn id="15" idx="3"/>
        </xdr:cNvCxnSpPr>
      </xdr:nvCxnSpPr>
      <xdr:spPr>
        <a:xfrm rot="10800000">
          <a:off x="22920326" y="6019800"/>
          <a:ext cx="2149475" cy="1047750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AD2442"/>
          </a:solidFill>
          <a:prstDash val="sysDash"/>
          <a:miter lim="800000"/>
          <a:headEnd type="triangle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231776</xdr:colOff>
      <xdr:row>19</xdr:row>
      <xdr:rowOff>104775</xdr:rowOff>
    </xdr:from>
    <xdr:to>
      <xdr:col>63</xdr:col>
      <xdr:colOff>1</xdr:colOff>
      <xdr:row>21</xdr:row>
      <xdr:rowOff>104775</xdr:rowOff>
    </xdr:to>
    <xdr:cxnSp macro="">
      <xdr:nvCxnSpPr>
        <xdr:cNvPr id="458" name="CL1_4.5"/>
        <xdr:cNvCxnSpPr>
          <a:stCxn id="37" idx="1"/>
          <a:endCxn id="33" idx="3"/>
        </xdr:cNvCxnSpPr>
      </xdr:nvCxnSpPr>
      <xdr:spPr>
        <a:xfrm rot="10800000">
          <a:off x="25539701" y="7486650"/>
          <a:ext cx="720725" cy="419100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AD2442"/>
          </a:solidFill>
          <a:prstDash val="sysDash"/>
          <a:miter lim="800000"/>
          <a:headEnd type="triangle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0</xdr:colOff>
      <xdr:row>22</xdr:row>
      <xdr:rowOff>104775</xdr:rowOff>
    </xdr:from>
    <xdr:to>
      <xdr:col>100</xdr:col>
      <xdr:colOff>231775</xdr:colOff>
      <xdr:row>23</xdr:row>
      <xdr:rowOff>104775</xdr:rowOff>
    </xdr:to>
    <xdr:cxnSp macro="">
      <xdr:nvCxnSpPr>
        <xdr:cNvPr id="459" name="CL1_6"/>
        <xdr:cNvCxnSpPr>
          <a:stCxn id="42" idx="1"/>
          <a:endCxn id="39" idx="3"/>
        </xdr:cNvCxnSpPr>
      </xdr:nvCxnSpPr>
      <xdr:spPr>
        <a:xfrm rot="10800000" flipH="1">
          <a:off x="26260425" y="8115300"/>
          <a:ext cx="9042400" cy="209550"/>
        </a:xfrm>
        <a:prstGeom prst="bentConnector5">
          <a:avLst>
            <a:gd name="adj1" fmla="val -2528"/>
            <a:gd name="adj2" fmla="val 50000"/>
            <a:gd name="adj3" fmla="val 102528"/>
          </a:avLst>
        </a:prstGeom>
        <a:ln w="3175" cap="flat" cmpd="sng" algn="ctr">
          <a:solidFill>
            <a:srgbClr val="AD2442"/>
          </a:solidFill>
          <a:prstDash val="sysDash"/>
          <a:miter lim="800000"/>
          <a:headEnd type="triangle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231775</xdr:colOff>
      <xdr:row>23</xdr:row>
      <xdr:rowOff>104775</xdr:rowOff>
    </xdr:from>
    <xdr:to>
      <xdr:col>74</xdr:col>
      <xdr:colOff>0</xdr:colOff>
      <xdr:row>24</xdr:row>
      <xdr:rowOff>104775</xdr:rowOff>
    </xdr:to>
    <xdr:cxnSp macro="">
      <xdr:nvCxnSpPr>
        <xdr:cNvPr id="460" name="CL1_7"/>
        <xdr:cNvCxnSpPr>
          <a:stCxn id="44" idx="1"/>
          <a:endCxn id="42" idx="3"/>
        </xdr:cNvCxnSpPr>
      </xdr:nvCxnSpPr>
      <xdr:spPr>
        <a:xfrm rot="10800000">
          <a:off x="27920950" y="8324850"/>
          <a:ext cx="958850" cy="209550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AD2442"/>
          </a:solidFill>
          <a:prstDash val="sysDash"/>
          <a:miter lim="800000"/>
          <a:headEnd type="triangle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231775</xdr:colOff>
      <xdr:row>31</xdr:row>
      <xdr:rowOff>104775</xdr:rowOff>
    </xdr:from>
    <xdr:to>
      <xdr:col>90</xdr:col>
      <xdr:colOff>0</xdr:colOff>
      <xdr:row>32</xdr:row>
      <xdr:rowOff>104775</xdr:rowOff>
    </xdr:to>
    <xdr:cxnSp macro="">
      <xdr:nvCxnSpPr>
        <xdr:cNvPr id="461" name="CL1_8.5.1.1"/>
        <xdr:cNvCxnSpPr>
          <a:stCxn id="61" idx="1"/>
          <a:endCxn id="59" idx="3"/>
        </xdr:cNvCxnSpPr>
      </xdr:nvCxnSpPr>
      <xdr:spPr>
        <a:xfrm rot="10800000">
          <a:off x="32683450" y="10001250"/>
          <a:ext cx="6350" cy="209550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AD2442"/>
          </a:solidFill>
          <a:prstDash val="sysDash"/>
          <a:miter lim="800000"/>
          <a:headEnd type="triangle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231775</xdr:colOff>
      <xdr:row>32</xdr:row>
      <xdr:rowOff>104775</xdr:rowOff>
    </xdr:from>
    <xdr:to>
      <xdr:col>91</xdr:col>
      <xdr:colOff>0</xdr:colOff>
      <xdr:row>33</xdr:row>
      <xdr:rowOff>104775</xdr:rowOff>
    </xdr:to>
    <xdr:cxnSp macro="">
      <xdr:nvCxnSpPr>
        <xdr:cNvPr id="462" name="CL1_8.5.1.2"/>
        <xdr:cNvCxnSpPr>
          <a:stCxn id="63" idx="1"/>
          <a:endCxn id="61" idx="3"/>
        </xdr:cNvCxnSpPr>
      </xdr:nvCxnSpPr>
      <xdr:spPr>
        <a:xfrm rot="10800000">
          <a:off x="32921575" y="10210800"/>
          <a:ext cx="6350" cy="209550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AD2442"/>
          </a:solidFill>
          <a:prstDash val="sysDash"/>
          <a:miter lim="800000"/>
          <a:headEnd type="triangle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238124</xdr:colOff>
      <xdr:row>33</xdr:row>
      <xdr:rowOff>104775</xdr:rowOff>
    </xdr:from>
    <xdr:to>
      <xdr:col>91</xdr:col>
      <xdr:colOff>231774</xdr:colOff>
      <xdr:row>34</xdr:row>
      <xdr:rowOff>104775</xdr:rowOff>
    </xdr:to>
    <xdr:cxnSp macro="">
      <xdr:nvCxnSpPr>
        <xdr:cNvPr id="463" name="CL1_8.5.1.2.1"/>
        <xdr:cNvCxnSpPr>
          <a:stCxn id="449" idx="1"/>
          <a:endCxn id="63" idx="3"/>
        </xdr:cNvCxnSpPr>
      </xdr:nvCxnSpPr>
      <xdr:spPr>
        <a:xfrm rot="10800000" flipH="1">
          <a:off x="32927924" y="10420350"/>
          <a:ext cx="231775" cy="209550"/>
        </a:xfrm>
        <a:prstGeom prst="bentConnector5">
          <a:avLst>
            <a:gd name="adj1" fmla="val -98630"/>
            <a:gd name="adj2" fmla="val 50000"/>
            <a:gd name="adj3" fmla="val 198630"/>
          </a:avLst>
        </a:prstGeom>
        <a:ln w="3175" cap="flat" cmpd="sng" algn="ctr">
          <a:solidFill>
            <a:srgbClr val="AD2442"/>
          </a:solidFill>
          <a:prstDash val="sysDash"/>
          <a:miter lim="800000"/>
          <a:headEnd type="triangle" w="med" len="med"/>
          <a:tailEnd type="diamond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45720</xdr:colOff>
      <xdr:row>7</xdr:row>
      <xdr:rowOff>31433</xdr:rowOff>
    </xdr:from>
    <xdr:to>
      <xdr:col>39</xdr:col>
      <xdr:colOff>192405</xdr:colOff>
      <xdr:row>7</xdr:row>
      <xdr:rowOff>178117</xdr:rowOff>
    </xdr:to>
    <xdr:sp macro="" textlink="">
      <xdr:nvSpPr>
        <xdr:cNvPr id="4" name="MS_S1"/>
        <xdr:cNvSpPr/>
      </xdr:nvSpPr>
      <xdr:spPr>
        <a:xfrm>
          <a:off x="20591145" y="4898708"/>
          <a:ext cx="146685" cy="146684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45720</xdr:colOff>
      <xdr:row>8</xdr:row>
      <xdr:rowOff>31433</xdr:rowOff>
    </xdr:from>
    <xdr:to>
      <xdr:col>39</xdr:col>
      <xdr:colOff>192405</xdr:colOff>
      <xdr:row>8</xdr:row>
      <xdr:rowOff>178117</xdr:rowOff>
    </xdr:to>
    <xdr:sp macro="" textlink="">
      <xdr:nvSpPr>
        <xdr:cNvPr id="7" name="MS_S2"/>
        <xdr:cNvSpPr/>
      </xdr:nvSpPr>
      <xdr:spPr>
        <a:xfrm>
          <a:off x="20591145" y="5108258"/>
          <a:ext cx="146685" cy="146684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45720</xdr:colOff>
      <xdr:row>9</xdr:row>
      <xdr:rowOff>31433</xdr:rowOff>
    </xdr:from>
    <xdr:to>
      <xdr:col>40</xdr:col>
      <xdr:colOff>192405</xdr:colOff>
      <xdr:row>9</xdr:row>
      <xdr:rowOff>178117</xdr:rowOff>
    </xdr:to>
    <xdr:sp macro="" textlink="">
      <xdr:nvSpPr>
        <xdr:cNvPr id="10" name="MS_S2.1"/>
        <xdr:cNvSpPr/>
      </xdr:nvSpPr>
      <xdr:spPr>
        <a:xfrm>
          <a:off x="20829270" y="5317808"/>
          <a:ext cx="146685" cy="146684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45720</xdr:colOff>
      <xdr:row>12</xdr:row>
      <xdr:rowOff>31433</xdr:rowOff>
    </xdr:from>
    <xdr:to>
      <xdr:col>44</xdr:col>
      <xdr:colOff>192405</xdr:colOff>
      <xdr:row>12</xdr:row>
      <xdr:rowOff>178117</xdr:rowOff>
    </xdr:to>
    <xdr:sp macro="" textlink="">
      <xdr:nvSpPr>
        <xdr:cNvPr id="17" name="MS_S3"/>
        <xdr:cNvSpPr/>
      </xdr:nvSpPr>
      <xdr:spPr>
        <a:xfrm>
          <a:off x="21781770" y="5946458"/>
          <a:ext cx="146685" cy="146684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45720</xdr:colOff>
      <xdr:row>16</xdr:row>
      <xdr:rowOff>31432</xdr:rowOff>
    </xdr:from>
    <xdr:to>
      <xdr:col>44</xdr:col>
      <xdr:colOff>192405</xdr:colOff>
      <xdr:row>16</xdr:row>
      <xdr:rowOff>178117</xdr:rowOff>
    </xdr:to>
    <xdr:sp macro="" textlink="">
      <xdr:nvSpPr>
        <xdr:cNvPr id="26" name="MS_S3.2.2"/>
        <xdr:cNvSpPr/>
      </xdr:nvSpPr>
      <xdr:spPr>
        <a:xfrm>
          <a:off x="21781770" y="6784657"/>
          <a:ext cx="146685" cy="146685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57</xdr:col>
      <xdr:colOff>45720</xdr:colOff>
      <xdr:row>16</xdr:row>
      <xdr:rowOff>31432</xdr:rowOff>
    </xdr:from>
    <xdr:to>
      <xdr:col>57</xdr:col>
      <xdr:colOff>192405</xdr:colOff>
      <xdr:row>16</xdr:row>
      <xdr:rowOff>178117</xdr:rowOff>
    </xdr:to>
    <xdr:sp macro="" textlink="">
      <xdr:nvSpPr>
        <xdr:cNvPr id="27" name="MS_E3.2.2"/>
        <xdr:cNvSpPr/>
      </xdr:nvSpPr>
      <xdr:spPr>
        <a:xfrm>
          <a:off x="24877395" y="6784657"/>
          <a:ext cx="146685" cy="146685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45720</xdr:colOff>
      <xdr:row>17</xdr:row>
      <xdr:rowOff>31432</xdr:rowOff>
    </xdr:from>
    <xdr:to>
      <xdr:col>61</xdr:col>
      <xdr:colOff>192405</xdr:colOff>
      <xdr:row>17</xdr:row>
      <xdr:rowOff>178117</xdr:rowOff>
    </xdr:to>
    <xdr:sp macro="" textlink="">
      <xdr:nvSpPr>
        <xdr:cNvPr id="30" name="MS_E4"/>
        <xdr:cNvSpPr/>
      </xdr:nvSpPr>
      <xdr:spPr>
        <a:xfrm>
          <a:off x="25829895" y="6994207"/>
          <a:ext cx="146685" cy="146685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100</xdr:col>
      <xdr:colOff>45721</xdr:colOff>
      <xdr:row>22</xdr:row>
      <xdr:rowOff>31432</xdr:rowOff>
    </xdr:from>
    <xdr:to>
      <xdr:col>100</xdr:col>
      <xdr:colOff>192407</xdr:colOff>
      <xdr:row>22</xdr:row>
      <xdr:rowOff>178117</xdr:rowOff>
    </xdr:to>
    <xdr:sp macro="" textlink="">
      <xdr:nvSpPr>
        <xdr:cNvPr id="41" name="MS_E5"/>
        <xdr:cNvSpPr/>
      </xdr:nvSpPr>
      <xdr:spPr>
        <a:xfrm>
          <a:off x="35116771" y="8041957"/>
          <a:ext cx="146686" cy="146685"/>
        </a:xfrm>
        <a:prstGeom prst="diamond">
          <a:avLst/>
        </a:prstGeom>
        <a:solidFill>
          <a:srgbClr val="FF0000"/>
        </a:solidFill>
        <a:ln w="1270" cap="flat" cmpd="sng" algn="ctr">
          <a:solidFill>
            <a:srgbClr val="AD244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78</xdr:col>
      <xdr:colOff>45721</xdr:colOff>
      <xdr:row>24</xdr:row>
      <xdr:rowOff>31432</xdr:rowOff>
    </xdr:from>
    <xdr:to>
      <xdr:col>78</xdr:col>
      <xdr:colOff>192407</xdr:colOff>
      <xdr:row>24</xdr:row>
      <xdr:rowOff>178117</xdr:rowOff>
    </xdr:to>
    <xdr:sp macro="" textlink="">
      <xdr:nvSpPr>
        <xdr:cNvPr id="46" name="MS_E7"/>
        <xdr:cNvSpPr/>
      </xdr:nvSpPr>
      <xdr:spPr>
        <a:xfrm>
          <a:off x="29878021" y="8461057"/>
          <a:ext cx="146686" cy="146685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95</xdr:col>
      <xdr:colOff>45721</xdr:colOff>
      <xdr:row>35</xdr:row>
      <xdr:rowOff>31432</xdr:rowOff>
    </xdr:from>
    <xdr:to>
      <xdr:col>95</xdr:col>
      <xdr:colOff>192407</xdr:colOff>
      <xdr:row>35</xdr:row>
      <xdr:rowOff>178117</xdr:rowOff>
    </xdr:to>
    <xdr:sp macro="" textlink="">
      <xdr:nvSpPr>
        <xdr:cNvPr id="453" name="MS_E8.5.1.2.2"/>
        <xdr:cNvSpPr/>
      </xdr:nvSpPr>
      <xdr:spPr>
        <a:xfrm>
          <a:off x="33926146" y="10766107"/>
          <a:ext cx="146686" cy="146685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53</xdr:col>
      <xdr:colOff>0</xdr:colOff>
      <xdr:row>3</xdr:row>
      <xdr:rowOff>0</xdr:rowOff>
    </xdr:to>
    <xdr:sp macro="" textlink="">
      <xdr:nvSpPr>
        <xdr:cNvPr id="224" name="Month_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16021050" y="2057400"/>
          <a:ext cx="7858125" cy="1285875"/>
        </a:xfrm>
        <a:prstGeom prst="chevron">
          <a:avLst>
            <a:gd name="adj" fmla="val 25000"/>
          </a:avLst>
        </a:prstGeom>
        <a:solidFill>
          <a:srgbClr val="E2E6E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1</xdr:row>
      <xdr:rowOff>0</xdr:rowOff>
    </xdr:from>
    <xdr:to>
      <xdr:col>84</xdr:col>
      <xdr:colOff>0</xdr:colOff>
      <xdr:row>3</xdr:row>
      <xdr:rowOff>0</xdr:rowOff>
    </xdr:to>
    <xdr:sp macro="" textlink="">
      <xdr:nvSpPr>
        <xdr:cNvPr id="225" name="Month_3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3164800" y="2057400"/>
          <a:ext cx="8096250" cy="1285875"/>
        </a:xfrm>
        <a:prstGeom prst="chevron">
          <a:avLst>
            <a:gd name="adj" fmla="val 25000"/>
          </a:avLst>
        </a:prstGeom>
        <a:solidFill>
          <a:srgbClr val="CFD5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81</xdr:col>
      <xdr:colOff>0</xdr:colOff>
      <xdr:row>1</xdr:row>
      <xdr:rowOff>0</xdr:rowOff>
    </xdr:from>
    <xdr:to>
      <xdr:col>114</xdr:col>
      <xdr:colOff>0</xdr:colOff>
      <xdr:row>3</xdr:row>
      <xdr:rowOff>0</xdr:rowOff>
    </xdr:to>
    <xdr:sp macro="" textlink="">
      <xdr:nvSpPr>
        <xdr:cNvPr id="226" name="Month_62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30546675" y="2057400"/>
          <a:ext cx="7858125" cy="1285875"/>
        </a:xfrm>
        <a:prstGeom prst="chevron">
          <a:avLst>
            <a:gd name="adj" fmla="val 25000"/>
          </a:avLst>
        </a:prstGeom>
        <a:solidFill>
          <a:srgbClr val="B2BC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111</xdr:col>
      <xdr:colOff>0</xdr:colOff>
      <xdr:row>1</xdr:row>
      <xdr:rowOff>0</xdr:rowOff>
    </xdr:from>
    <xdr:to>
      <xdr:col>145</xdr:col>
      <xdr:colOff>0</xdr:colOff>
      <xdr:row>3</xdr:row>
      <xdr:rowOff>0</xdr:rowOff>
    </xdr:to>
    <xdr:sp macro="" textlink="">
      <xdr:nvSpPr>
        <xdr:cNvPr id="227" name="Month_92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37690425" y="2057400"/>
          <a:ext cx="8096250" cy="1285875"/>
        </a:xfrm>
        <a:prstGeom prst="chevron">
          <a:avLst>
            <a:gd name="adj" fmla="val 25000"/>
          </a:avLst>
        </a:prstGeom>
        <a:solidFill>
          <a:srgbClr val="A2AE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141</xdr:col>
      <xdr:colOff>238124</xdr:colOff>
      <xdr:row>1</xdr:row>
      <xdr:rowOff>0</xdr:rowOff>
    </xdr:from>
    <xdr:to>
      <xdr:col>175</xdr:col>
      <xdr:colOff>238124</xdr:colOff>
      <xdr:row>3</xdr:row>
      <xdr:rowOff>0</xdr:rowOff>
    </xdr:to>
    <xdr:sp macro="" textlink="">
      <xdr:nvSpPr>
        <xdr:cNvPr id="228" name="Month_123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45072299" y="2057400"/>
          <a:ext cx="8096250" cy="1285875"/>
        </a:xfrm>
        <a:prstGeom prst="chevron">
          <a:avLst>
            <a:gd name="adj" fmla="val 25000"/>
          </a:avLst>
        </a:prstGeom>
        <a:solidFill>
          <a:srgbClr val="98A5B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173</xdr:col>
      <xdr:colOff>0</xdr:colOff>
      <xdr:row>1</xdr:row>
      <xdr:rowOff>0</xdr:rowOff>
    </xdr:from>
    <xdr:to>
      <xdr:col>206</xdr:col>
      <xdr:colOff>0</xdr:colOff>
      <xdr:row>3</xdr:row>
      <xdr:rowOff>0</xdr:rowOff>
    </xdr:to>
    <xdr:sp macro="" textlink="">
      <xdr:nvSpPr>
        <xdr:cNvPr id="229" name="Month_15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2454175" y="2057400"/>
          <a:ext cx="7858125" cy="1285875"/>
        </a:xfrm>
        <a:prstGeom prst="chevron">
          <a:avLst>
            <a:gd name="adj" fmla="val 25000"/>
          </a:avLst>
        </a:prstGeom>
        <a:solidFill>
          <a:srgbClr val="E2E6E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203</xdr:col>
      <xdr:colOff>0</xdr:colOff>
      <xdr:row>1</xdr:row>
      <xdr:rowOff>0</xdr:rowOff>
    </xdr:from>
    <xdr:to>
      <xdr:col>237</xdr:col>
      <xdr:colOff>0</xdr:colOff>
      <xdr:row>3</xdr:row>
      <xdr:rowOff>0</xdr:rowOff>
    </xdr:to>
    <xdr:sp macro="" textlink="">
      <xdr:nvSpPr>
        <xdr:cNvPr id="230" name="Month_184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59597925" y="2057400"/>
          <a:ext cx="8096250" cy="1285875"/>
        </a:xfrm>
        <a:prstGeom prst="chevron">
          <a:avLst>
            <a:gd name="adj" fmla="val 25000"/>
          </a:avLst>
        </a:prstGeom>
        <a:solidFill>
          <a:srgbClr val="CFD5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234</xdr:col>
      <xdr:colOff>0</xdr:colOff>
      <xdr:row>1</xdr:row>
      <xdr:rowOff>0</xdr:rowOff>
    </xdr:from>
    <xdr:to>
      <xdr:col>267</xdr:col>
      <xdr:colOff>0</xdr:colOff>
      <xdr:row>3</xdr:row>
      <xdr:rowOff>0</xdr:rowOff>
    </xdr:to>
    <xdr:sp macro="" textlink="">
      <xdr:nvSpPr>
        <xdr:cNvPr id="231" name="Month_215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66979800" y="2057400"/>
          <a:ext cx="7858125" cy="1285875"/>
        </a:xfrm>
        <a:prstGeom prst="chevron">
          <a:avLst>
            <a:gd name="adj" fmla="val 25000"/>
          </a:avLst>
        </a:prstGeom>
        <a:solidFill>
          <a:srgbClr val="B2BC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264</xdr:col>
      <xdr:colOff>0</xdr:colOff>
      <xdr:row>1</xdr:row>
      <xdr:rowOff>0</xdr:rowOff>
    </xdr:from>
    <xdr:to>
      <xdr:col>298</xdr:col>
      <xdr:colOff>0</xdr:colOff>
      <xdr:row>3</xdr:row>
      <xdr:rowOff>0</xdr:rowOff>
    </xdr:to>
    <xdr:sp macro="" textlink="">
      <xdr:nvSpPr>
        <xdr:cNvPr id="232" name="Month_245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4123550" y="2057400"/>
          <a:ext cx="8096250" cy="1285875"/>
        </a:xfrm>
        <a:prstGeom prst="chevron">
          <a:avLst>
            <a:gd name="adj" fmla="val 25000"/>
          </a:avLst>
        </a:prstGeom>
        <a:solidFill>
          <a:srgbClr val="A2AE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294</xdr:col>
      <xdr:colOff>238124</xdr:colOff>
      <xdr:row>1</xdr:row>
      <xdr:rowOff>0</xdr:rowOff>
    </xdr:from>
    <xdr:to>
      <xdr:col>326</xdr:col>
      <xdr:colOff>228599</xdr:colOff>
      <xdr:row>3</xdr:row>
      <xdr:rowOff>0</xdr:rowOff>
    </xdr:to>
    <xdr:sp macro="" textlink="">
      <xdr:nvSpPr>
        <xdr:cNvPr id="233" name="Month_276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81505424" y="2057400"/>
          <a:ext cx="7620000" cy="1285875"/>
        </a:xfrm>
        <a:prstGeom prst="chevron">
          <a:avLst>
            <a:gd name="adj" fmla="val 25000"/>
          </a:avLst>
        </a:prstGeom>
        <a:solidFill>
          <a:srgbClr val="98A5B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80645</xdr:colOff>
      <xdr:row>0</xdr:row>
      <xdr:rowOff>695007</xdr:rowOff>
    </xdr:from>
    <xdr:to>
      <xdr:col>37</xdr:col>
      <xdr:colOff>160020</xdr:colOff>
      <xdr:row>2</xdr:row>
      <xdr:rowOff>56832</xdr:rowOff>
    </xdr:to>
    <xdr:sp macro="" textlink="">
      <xdr:nvSpPr>
        <xdr:cNvPr id="464" name="TB_1"/>
        <xdr:cNvSpPr txBox="1">
          <a:spLocks/>
        </xdr:cNvSpPr>
      </xdr:nvSpPr>
      <xdr:spPr>
        <a:xfrm rot="2700000">
          <a:off x="19117945" y="1488757"/>
          <a:ext cx="190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/>
        <a:lstStyle/>
        <a:p>
          <a:pPr algn="r"/>
          <a:r>
            <a:rPr lang="ko-KR" altLang="en-US" sz="1100">
              <a:solidFill>
                <a:schemeClr val="bg1">
                  <a:lumMod val="50000"/>
                </a:schemeClr>
              </a:solidFill>
            </a:rPr>
            <a:t>시작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(04/20)   </a:t>
          </a:r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39</xdr:col>
      <xdr:colOff>55563</xdr:colOff>
      <xdr:row>1</xdr:row>
      <xdr:rowOff>168275</xdr:rowOff>
    </xdr:from>
    <xdr:to>
      <xdr:col>39</xdr:col>
      <xdr:colOff>182563</xdr:colOff>
      <xdr:row>1</xdr:row>
      <xdr:rowOff>358775</xdr:rowOff>
    </xdr:to>
    <xdr:sp macro="" textlink="">
      <xdr:nvSpPr>
        <xdr:cNvPr id="465" name="MS2_S_1"/>
        <xdr:cNvSpPr/>
      </xdr:nvSpPr>
      <xdr:spPr>
        <a:xfrm>
          <a:off x="20600988" y="2225675"/>
          <a:ext cx="127000" cy="190500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80645</xdr:colOff>
      <xdr:row>0</xdr:row>
      <xdr:rowOff>917258</xdr:rowOff>
    </xdr:from>
    <xdr:to>
      <xdr:col>37</xdr:col>
      <xdr:colOff>160020</xdr:colOff>
      <xdr:row>2</xdr:row>
      <xdr:rowOff>279083</xdr:rowOff>
    </xdr:to>
    <xdr:sp macro="" textlink="">
      <xdr:nvSpPr>
        <xdr:cNvPr id="466" name="TB_2"/>
        <xdr:cNvSpPr txBox="1">
          <a:spLocks/>
        </xdr:cNvSpPr>
      </xdr:nvSpPr>
      <xdr:spPr>
        <a:xfrm rot="2700000">
          <a:off x="19117945" y="1711008"/>
          <a:ext cx="190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/>
        <a:lstStyle/>
        <a:p>
          <a:pPr algn="r"/>
          <a:r>
            <a:rPr lang="ko-KR" altLang="en-US" sz="1100">
              <a:solidFill>
                <a:schemeClr val="bg1">
                  <a:lumMod val="50000"/>
                </a:schemeClr>
              </a:solidFill>
            </a:rPr>
            <a:t>자체 평가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(04/20)   </a:t>
          </a:r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39</xdr:col>
      <xdr:colOff>55563</xdr:colOff>
      <xdr:row>1</xdr:row>
      <xdr:rowOff>390525</xdr:rowOff>
    </xdr:from>
    <xdr:to>
      <xdr:col>39</xdr:col>
      <xdr:colOff>182563</xdr:colOff>
      <xdr:row>2</xdr:row>
      <xdr:rowOff>95250</xdr:rowOff>
    </xdr:to>
    <xdr:sp macro="" textlink="">
      <xdr:nvSpPr>
        <xdr:cNvPr id="467" name="MS2_S_2"/>
        <xdr:cNvSpPr/>
      </xdr:nvSpPr>
      <xdr:spPr>
        <a:xfrm>
          <a:off x="20600988" y="2447925"/>
          <a:ext cx="127000" cy="190500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80645</xdr:colOff>
      <xdr:row>0</xdr:row>
      <xdr:rowOff>695007</xdr:rowOff>
    </xdr:from>
    <xdr:to>
      <xdr:col>38</xdr:col>
      <xdr:colOff>160020</xdr:colOff>
      <xdr:row>2</xdr:row>
      <xdr:rowOff>56832</xdr:rowOff>
    </xdr:to>
    <xdr:sp macro="" textlink="">
      <xdr:nvSpPr>
        <xdr:cNvPr id="468" name="TB_2.1"/>
        <xdr:cNvSpPr txBox="1">
          <a:spLocks/>
        </xdr:cNvSpPr>
      </xdr:nvSpPr>
      <xdr:spPr>
        <a:xfrm rot="2700000">
          <a:off x="19356070" y="1488757"/>
          <a:ext cx="190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/>
        <a:lstStyle/>
        <a:p>
          <a:pPr algn="r"/>
          <a:r>
            <a:rPr lang="ko-KR" altLang="en-US" sz="1100">
              <a:solidFill>
                <a:schemeClr val="bg1">
                  <a:lumMod val="50000"/>
                </a:schemeClr>
              </a:solidFill>
            </a:rPr>
            <a:t>사업 전망 조사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(04/21)   </a:t>
          </a:r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40</xdr:col>
      <xdr:colOff>55563</xdr:colOff>
      <xdr:row>1</xdr:row>
      <xdr:rowOff>168275</xdr:rowOff>
    </xdr:from>
    <xdr:to>
      <xdr:col>40</xdr:col>
      <xdr:colOff>182563</xdr:colOff>
      <xdr:row>1</xdr:row>
      <xdr:rowOff>358775</xdr:rowOff>
    </xdr:to>
    <xdr:sp macro="" textlink="">
      <xdr:nvSpPr>
        <xdr:cNvPr id="469" name="MS2_S_2.1"/>
        <xdr:cNvSpPr/>
      </xdr:nvSpPr>
      <xdr:spPr>
        <a:xfrm>
          <a:off x="20839113" y="2225675"/>
          <a:ext cx="127000" cy="190500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80645</xdr:colOff>
      <xdr:row>0</xdr:row>
      <xdr:rowOff>695007</xdr:rowOff>
    </xdr:from>
    <xdr:to>
      <xdr:col>42</xdr:col>
      <xdr:colOff>160020</xdr:colOff>
      <xdr:row>2</xdr:row>
      <xdr:rowOff>56832</xdr:rowOff>
    </xdr:to>
    <xdr:sp macro="" textlink="">
      <xdr:nvSpPr>
        <xdr:cNvPr id="470" name="TB_3"/>
        <xdr:cNvSpPr txBox="1">
          <a:spLocks/>
        </xdr:cNvSpPr>
      </xdr:nvSpPr>
      <xdr:spPr>
        <a:xfrm rot="2700000">
          <a:off x="20308570" y="1488757"/>
          <a:ext cx="190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/>
        <a:lstStyle/>
        <a:p>
          <a:pPr algn="r"/>
          <a:r>
            <a:rPr lang="ko-KR" altLang="en-US" sz="1100">
              <a:solidFill>
                <a:schemeClr val="bg1">
                  <a:lumMod val="50000"/>
                </a:schemeClr>
              </a:solidFill>
            </a:rPr>
            <a:t>시장조사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(04/25)   </a:t>
          </a:r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44</xdr:col>
      <xdr:colOff>55563</xdr:colOff>
      <xdr:row>1</xdr:row>
      <xdr:rowOff>168275</xdr:rowOff>
    </xdr:from>
    <xdr:to>
      <xdr:col>44</xdr:col>
      <xdr:colOff>182563</xdr:colOff>
      <xdr:row>1</xdr:row>
      <xdr:rowOff>358775</xdr:rowOff>
    </xdr:to>
    <xdr:sp macro="" textlink="">
      <xdr:nvSpPr>
        <xdr:cNvPr id="471" name="MS2_S_3"/>
        <xdr:cNvSpPr/>
      </xdr:nvSpPr>
      <xdr:spPr>
        <a:xfrm>
          <a:off x="21791613" y="2225675"/>
          <a:ext cx="127000" cy="190500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55563</xdr:colOff>
      <xdr:row>1</xdr:row>
      <xdr:rowOff>390525</xdr:rowOff>
    </xdr:from>
    <xdr:to>
      <xdr:col>44</xdr:col>
      <xdr:colOff>182563</xdr:colOff>
      <xdr:row>2</xdr:row>
      <xdr:rowOff>95250</xdr:rowOff>
    </xdr:to>
    <xdr:sp macro="" textlink="">
      <xdr:nvSpPr>
        <xdr:cNvPr id="472" name="MS2_S_3.2.2"/>
        <xdr:cNvSpPr/>
      </xdr:nvSpPr>
      <xdr:spPr>
        <a:xfrm>
          <a:off x="21791613" y="2447925"/>
          <a:ext cx="127000" cy="190500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80645</xdr:colOff>
      <xdr:row>0</xdr:row>
      <xdr:rowOff>917258</xdr:rowOff>
    </xdr:from>
    <xdr:to>
      <xdr:col>55</xdr:col>
      <xdr:colOff>160020</xdr:colOff>
      <xdr:row>2</xdr:row>
      <xdr:rowOff>279083</xdr:rowOff>
    </xdr:to>
    <xdr:sp macro="" textlink="">
      <xdr:nvSpPr>
        <xdr:cNvPr id="473" name="TB_3.2.2"/>
        <xdr:cNvSpPr txBox="1">
          <a:spLocks/>
        </xdr:cNvSpPr>
      </xdr:nvSpPr>
      <xdr:spPr>
        <a:xfrm rot="2700000">
          <a:off x="23404195" y="1711008"/>
          <a:ext cx="190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/>
        <a:lstStyle/>
        <a:p>
          <a:pPr algn="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dddddd (05/08)   </a:t>
          </a:r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57</xdr:col>
      <xdr:colOff>55563</xdr:colOff>
      <xdr:row>1</xdr:row>
      <xdr:rowOff>390525</xdr:rowOff>
    </xdr:from>
    <xdr:to>
      <xdr:col>57</xdr:col>
      <xdr:colOff>182563</xdr:colOff>
      <xdr:row>2</xdr:row>
      <xdr:rowOff>95250</xdr:rowOff>
    </xdr:to>
    <xdr:sp macro="" textlink="">
      <xdr:nvSpPr>
        <xdr:cNvPr id="474" name="MS2_E_3.2.2"/>
        <xdr:cNvSpPr/>
      </xdr:nvSpPr>
      <xdr:spPr>
        <a:xfrm>
          <a:off x="24887238" y="2447925"/>
          <a:ext cx="127000" cy="190500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182563</xdr:colOff>
      <xdr:row>2</xdr:row>
      <xdr:rowOff>0</xdr:rowOff>
    </xdr:from>
    <xdr:to>
      <xdr:col>57</xdr:col>
      <xdr:colOff>55563</xdr:colOff>
      <xdr:row>2</xdr:row>
      <xdr:rowOff>0</xdr:rowOff>
    </xdr:to>
    <xdr:cxnSp macro="">
      <xdr:nvCxnSpPr>
        <xdr:cNvPr id="484" name="CL2_3.2.2"/>
        <xdr:cNvCxnSpPr>
          <a:stCxn id="472" idx="3"/>
          <a:endCxn id="474" idx="1"/>
        </xdr:cNvCxnSpPr>
      </xdr:nvCxnSpPr>
      <xdr:spPr>
        <a:xfrm>
          <a:off x="21918613" y="2543175"/>
          <a:ext cx="2968625" cy="0"/>
        </a:xfrm>
        <a:prstGeom prst="straightConnector1">
          <a:avLst/>
        </a:prstGeom>
        <a:ln w="6350" cap="flat" cmpd="sng" algn="ctr">
          <a:solidFill>
            <a:srgbClr val="262626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80645</xdr:colOff>
      <xdr:row>0</xdr:row>
      <xdr:rowOff>695007</xdr:rowOff>
    </xdr:from>
    <xdr:to>
      <xdr:col>59</xdr:col>
      <xdr:colOff>160020</xdr:colOff>
      <xdr:row>2</xdr:row>
      <xdr:rowOff>56832</xdr:rowOff>
    </xdr:to>
    <xdr:sp macro="" textlink="">
      <xdr:nvSpPr>
        <xdr:cNvPr id="485" name="TB_4"/>
        <xdr:cNvSpPr txBox="1">
          <a:spLocks/>
        </xdr:cNvSpPr>
      </xdr:nvSpPr>
      <xdr:spPr>
        <a:xfrm rot="2700000">
          <a:off x="24356695" y="1488757"/>
          <a:ext cx="190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/>
        <a:lstStyle/>
        <a:p>
          <a:pPr algn="r"/>
          <a:r>
            <a:rPr lang="ko-KR" altLang="en-US" sz="1100">
              <a:solidFill>
                <a:schemeClr val="bg1">
                  <a:lumMod val="50000"/>
                </a:schemeClr>
              </a:solidFill>
            </a:rPr>
            <a:t>사업 방식 평가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(05/12)   </a:t>
          </a:r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61</xdr:col>
      <xdr:colOff>55563</xdr:colOff>
      <xdr:row>1</xdr:row>
      <xdr:rowOff>168275</xdr:rowOff>
    </xdr:from>
    <xdr:to>
      <xdr:col>61</xdr:col>
      <xdr:colOff>182563</xdr:colOff>
      <xdr:row>1</xdr:row>
      <xdr:rowOff>358775</xdr:rowOff>
    </xdr:to>
    <xdr:sp macro="" textlink="">
      <xdr:nvSpPr>
        <xdr:cNvPr id="486" name="MS2_E_4"/>
        <xdr:cNvSpPr/>
      </xdr:nvSpPr>
      <xdr:spPr>
        <a:xfrm>
          <a:off x="25839738" y="2225675"/>
          <a:ext cx="127000" cy="190500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97</xdr:col>
      <xdr:colOff>80646</xdr:colOff>
      <xdr:row>0</xdr:row>
      <xdr:rowOff>695007</xdr:rowOff>
    </xdr:from>
    <xdr:to>
      <xdr:col>98</xdr:col>
      <xdr:colOff>160021</xdr:colOff>
      <xdr:row>2</xdr:row>
      <xdr:rowOff>56832</xdr:rowOff>
    </xdr:to>
    <xdr:sp macro="" textlink="">
      <xdr:nvSpPr>
        <xdr:cNvPr id="487" name="TB_5"/>
        <xdr:cNvSpPr txBox="1">
          <a:spLocks/>
        </xdr:cNvSpPr>
      </xdr:nvSpPr>
      <xdr:spPr>
        <a:xfrm rot="2700000">
          <a:off x="33643571" y="1488757"/>
          <a:ext cx="190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/>
        <a:lstStyle/>
        <a:p>
          <a:pPr algn="r"/>
          <a:r>
            <a:rPr lang="ko-KR" altLang="en-US" sz="1100">
              <a:solidFill>
                <a:schemeClr val="bg1">
                  <a:lumMod val="50000"/>
                </a:schemeClr>
              </a:solidFill>
            </a:rPr>
            <a:t>처음부터 다시 고민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(06/20)   </a:t>
          </a:r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100</xdr:col>
      <xdr:colOff>55563</xdr:colOff>
      <xdr:row>1</xdr:row>
      <xdr:rowOff>168275</xdr:rowOff>
    </xdr:from>
    <xdr:to>
      <xdr:col>100</xdr:col>
      <xdr:colOff>182563</xdr:colOff>
      <xdr:row>1</xdr:row>
      <xdr:rowOff>358775</xdr:rowOff>
    </xdr:to>
    <xdr:sp macro="" textlink="">
      <xdr:nvSpPr>
        <xdr:cNvPr id="488" name="MS2_E_5"/>
        <xdr:cNvSpPr/>
      </xdr:nvSpPr>
      <xdr:spPr>
        <a:xfrm>
          <a:off x="35126613" y="2225675"/>
          <a:ext cx="127000" cy="190500"/>
        </a:xfrm>
        <a:prstGeom prst="diamond">
          <a:avLst/>
        </a:prstGeom>
        <a:solidFill>
          <a:srgbClr val="FF0000"/>
        </a:solidFill>
        <a:ln w="1270" cap="flat" cmpd="sng" algn="ctr">
          <a:solidFill>
            <a:srgbClr val="AD244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75</xdr:col>
      <xdr:colOff>80646</xdr:colOff>
      <xdr:row>0</xdr:row>
      <xdr:rowOff>695007</xdr:rowOff>
    </xdr:from>
    <xdr:to>
      <xdr:col>76</xdr:col>
      <xdr:colOff>160021</xdr:colOff>
      <xdr:row>2</xdr:row>
      <xdr:rowOff>56832</xdr:rowOff>
    </xdr:to>
    <xdr:sp macro="" textlink="">
      <xdr:nvSpPr>
        <xdr:cNvPr id="489" name="TB_7"/>
        <xdr:cNvSpPr txBox="1">
          <a:spLocks/>
        </xdr:cNvSpPr>
      </xdr:nvSpPr>
      <xdr:spPr>
        <a:xfrm rot="2700000">
          <a:off x="28404821" y="1488757"/>
          <a:ext cx="190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/>
        <a:lstStyle/>
        <a:p>
          <a:pPr algn="r"/>
          <a:r>
            <a:rPr lang="ko-KR" altLang="en-US" sz="1100">
              <a:solidFill>
                <a:schemeClr val="bg1">
                  <a:lumMod val="50000"/>
                </a:schemeClr>
              </a:solidFill>
            </a:rPr>
            <a:t>사업성 조사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(05/29)   </a:t>
          </a:r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78</xdr:col>
      <xdr:colOff>55563</xdr:colOff>
      <xdr:row>1</xdr:row>
      <xdr:rowOff>168275</xdr:rowOff>
    </xdr:from>
    <xdr:to>
      <xdr:col>78</xdr:col>
      <xdr:colOff>182563</xdr:colOff>
      <xdr:row>1</xdr:row>
      <xdr:rowOff>358775</xdr:rowOff>
    </xdr:to>
    <xdr:sp macro="" textlink="">
      <xdr:nvSpPr>
        <xdr:cNvPr id="490" name="MS2_E_7"/>
        <xdr:cNvSpPr/>
      </xdr:nvSpPr>
      <xdr:spPr>
        <a:xfrm>
          <a:off x="29887863" y="2225675"/>
          <a:ext cx="127000" cy="190500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92</xdr:col>
      <xdr:colOff>80646</xdr:colOff>
      <xdr:row>0</xdr:row>
      <xdr:rowOff>695007</xdr:rowOff>
    </xdr:from>
    <xdr:to>
      <xdr:col>93</xdr:col>
      <xdr:colOff>160021</xdr:colOff>
      <xdr:row>2</xdr:row>
      <xdr:rowOff>56832</xdr:rowOff>
    </xdr:to>
    <xdr:sp macro="" textlink="">
      <xdr:nvSpPr>
        <xdr:cNvPr id="491" name="TB_8.5.1.2.2"/>
        <xdr:cNvSpPr txBox="1">
          <a:spLocks/>
        </xdr:cNvSpPr>
      </xdr:nvSpPr>
      <xdr:spPr>
        <a:xfrm rot="2700000">
          <a:off x="32452946" y="1488757"/>
          <a:ext cx="1905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/>
        <a:lstStyle/>
        <a:p>
          <a:pPr algn="r"/>
          <a:r>
            <a:rPr lang="ko-KR" altLang="en-US" sz="1100">
              <a:solidFill>
                <a:schemeClr val="bg1">
                  <a:lumMod val="50000"/>
                </a:schemeClr>
              </a:solidFill>
            </a:rPr>
            <a:t>끝 </a:t>
          </a:r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(06/15)   </a:t>
          </a:r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95</xdr:col>
      <xdr:colOff>55563</xdr:colOff>
      <xdr:row>1</xdr:row>
      <xdr:rowOff>168275</xdr:rowOff>
    </xdr:from>
    <xdr:to>
      <xdr:col>95</xdr:col>
      <xdr:colOff>182563</xdr:colOff>
      <xdr:row>1</xdr:row>
      <xdr:rowOff>358775</xdr:rowOff>
    </xdr:to>
    <xdr:sp macro="" textlink="">
      <xdr:nvSpPr>
        <xdr:cNvPr id="492" name="MS2_E_8.5.1.2.2"/>
        <xdr:cNvSpPr/>
      </xdr:nvSpPr>
      <xdr:spPr>
        <a:xfrm>
          <a:off x="33935988" y="2225675"/>
          <a:ext cx="127000" cy="190500"/>
        </a:xfrm>
        <a:prstGeom prst="diamond">
          <a:avLst/>
        </a:prstGeom>
        <a:solidFill>
          <a:srgbClr val="262626"/>
        </a:solidFill>
        <a:ln w="127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44</xdr:row>
      <xdr:rowOff>0</xdr:rowOff>
    </xdr:from>
    <xdr:to>
      <xdr:col>2</xdr:col>
      <xdr:colOff>3036938</xdr:colOff>
      <xdr:row>46</xdr:row>
      <xdr:rowOff>43453</xdr:rowOff>
    </xdr:to>
    <xdr:grpSp>
      <xdr:nvGrpSpPr>
        <xdr:cNvPr id="16" name="LegendBox_예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>
          <a:grpSpLocks noChangeAspect="1"/>
        </xdr:cNvGrpSpPr>
      </xdr:nvGrpSpPr>
      <xdr:grpSpPr>
        <a:xfrm>
          <a:off x="0" y="9368118"/>
          <a:ext cx="4381644" cy="469276"/>
          <a:chOff x="10620755" y="599457"/>
          <a:chExt cx="4139150" cy="524498"/>
        </a:xfrm>
        <a:effectLst/>
      </xdr:grpSpPr>
      <xdr:sp macro="" textlink="">
        <xdr:nvSpPr>
          <xdr:cNvPr id="17" name="Bar_P_OnGoing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11226178" y="603401"/>
            <a:ext cx="804032" cy="224487"/>
          </a:xfrm>
          <a:prstGeom prst="roundRect">
            <a:avLst/>
          </a:prstGeom>
          <a:solidFill>
            <a:schemeClr val="accent1">
              <a:lumMod val="60000"/>
              <a:lumOff val="40000"/>
              <a:alpha val="60000"/>
            </a:schemeClr>
          </a:solidFill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i="1">
                <a:solidFill>
                  <a:schemeClr val="tx1"/>
                </a:solidFill>
              </a:rPr>
              <a:t>정상</a:t>
            </a:r>
          </a:p>
        </xdr:txBody>
      </xdr:sp>
      <xdr:sp macro="" textlink="">
        <xdr:nvSpPr>
          <xdr:cNvPr id="18" name="Bar_P_Complete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12209359" y="603400"/>
            <a:ext cx="804032" cy="224487"/>
          </a:xfrm>
          <a:prstGeom prst="roundRect">
            <a:avLst/>
          </a:prstGeom>
          <a:solidFill>
            <a:schemeClr val="bg1">
              <a:lumMod val="75000"/>
              <a:alpha val="60000"/>
            </a:schemeClr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i="1">
                <a:solidFill>
                  <a:schemeClr val="tx1"/>
                </a:solidFill>
              </a:rPr>
              <a:t>완료</a:t>
            </a:r>
          </a:p>
        </xdr:txBody>
      </xdr:sp>
      <xdr:sp macro="" textlink="">
        <xdr:nvSpPr>
          <xdr:cNvPr id="19" name="Bar_P_Delay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13178036" y="618179"/>
            <a:ext cx="804032" cy="224487"/>
          </a:xfrm>
          <a:prstGeom prst="roundRect">
            <a:avLst/>
          </a:prstGeom>
          <a:solidFill>
            <a:schemeClr val="accent4">
              <a:lumMod val="60000"/>
              <a:lumOff val="40000"/>
              <a:alpha val="60000"/>
            </a:schemeClr>
          </a:solidFill>
          <a:ln>
            <a:solidFill>
              <a:schemeClr val="accent4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i="1">
                <a:solidFill>
                  <a:schemeClr val="tx1"/>
                </a:solidFill>
              </a:rPr>
              <a:t>지연</a:t>
            </a:r>
          </a:p>
        </xdr:txBody>
      </xdr:sp>
      <xdr:sp macro="" textlink="">
        <xdr:nvSpPr>
          <xdr:cNvPr id="20" name="Bar_A_OnGoing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11226178" y="969674"/>
            <a:ext cx="804032" cy="57980"/>
          </a:xfrm>
          <a:prstGeom prst="rect">
            <a:avLst/>
          </a:prstGeom>
          <a:solidFill>
            <a:srgbClr val="0033CC">
              <a:alpha val="89804"/>
            </a:srgbClr>
          </a:solidFill>
          <a:ln>
            <a:solidFill>
              <a:srgbClr val="00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21" name="Bar_A_Complete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12209359" y="901492"/>
            <a:ext cx="804031" cy="57980"/>
          </a:xfrm>
          <a:prstGeom prst="rect">
            <a:avLst/>
          </a:prstGeom>
          <a:solidFill>
            <a:schemeClr val="tx1">
              <a:lumMod val="65000"/>
              <a:lumOff val="35000"/>
              <a:alpha val="89804"/>
            </a:schemeClr>
          </a:solidFill>
          <a:ln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22" name="Bar_A_Delay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13178036" y="984453"/>
            <a:ext cx="804032" cy="57980"/>
          </a:xfrm>
          <a:prstGeom prst="rect">
            <a:avLst/>
          </a:prstGeom>
          <a:solidFill>
            <a:srgbClr val="C00000">
              <a:alpha val="90000"/>
            </a:srgbClr>
          </a:solidFill>
          <a:ln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10620755" y="599457"/>
            <a:ext cx="622037" cy="25437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ko-KR" altLang="en-US" sz="1200" b="1" i="1">
                <a:solidFill>
                  <a:schemeClr val="tx1"/>
                </a:solidFill>
              </a:rPr>
              <a:t>계획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10620755" y="889811"/>
            <a:ext cx="622037" cy="23414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ko-KR" altLang="en-US" sz="1200" b="1" i="1">
                <a:solidFill>
                  <a:schemeClr val="tx1"/>
                </a:solidFill>
              </a:rPr>
              <a:t>실행</a:t>
            </a:r>
          </a:p>
        </xdr:txBody>
      </xdr:sp>
      <xdr:cxnSp macro="">
        <xdr:nvCxnSpPr>
          <xdr:cNvPr id="25" name="Arrow_Connect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14214286" y="868104"/>
            <a:ext cx="545619" cy="0"/>
          </a:xfrm>
          <a:prstGeom prst="straightConnector1">
            <a:avLst/>
          </a:prstGeom>
          <a:ln w="3175">
            <a:solidFill>
              <a:srgbClr val="007A37"/>
            </a:solidFill>
            <a:prstDash val="solid"/>
            <a:headEnd type="diamond" w="med" len="med"/>
            <a:tailEnd type="triangle" w="med" len="med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MileStone_Color_Delay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13893384" y="641937"/>
            <a:ext cx="170556" cy="169297"/>
          </a:xfrm>
          <a:prstGeom prst="diamond">
            <a:avLst/>
          </a:prstGeom>
          <a:solidFill>
            <a:srgbClr val="FF0000"/>
          </a:solidFill>
          <a:ln w="12700">
            <a:solidFill>
              <a:schemeClr val="accent4">
                <a:lumMod val="75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27" name="MileStone_Color_Complete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12921752" y="627158"/>
            <a:ext cx="170556" cy="169297"/>
          </a:xfrm>
          <a:prstGeom prst="diamond">
            <a:avLst/>
          </a:prstGeom>
          <a:solidFill>
            <a:schemeClr val="tx1">
              <a:lumMod val="85000"/>
              <a:lumOff val="15000"/>
            </a:schemeClr>
          </a:solidFill>
          <a:ln w="12700">
            <a:solidFill>
              <a:sysClr val="windowText" lastClr="0000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28" name="MileStone_Color_OnGoing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11937772" y="641937"/>
            <a:ext cx="180410" cy="169297"/>
          </a:xfrm>
          <a:prstGeom prst="diamond">
            <a:avLst/>
          </a:prstGeom>
          <a:solidFill>
            <a:srgbClr val="0000FF"/>
          </a:solidFill>
          <a:ln w="12700">
            <a:solidFill>
              <a:schemeClr val="tx1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29" name="Bar_A_Complete_Delayed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12209359" y="1035811"/>
            <a:ext cx="804031" cy="57980"/>
          </a:xfrm>
          <a:prstGeom prst="rect">
            <a:avLst/>
          </a:prstGeom>
          <a:solidFill>
            <a:schemeClr val="accent4">
              <a:lumMod val="60000"/>
              <a:lumOff val="40000"/>
              <a:alpha val="89804"/>
            </a:schemeClr>
          </a:solidFill>
          <a:ln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609600</xdr:colOff>
          <xdr:row>0</xdr:row>
          <xdr:rowOff>57150</xdr:rowOff>
        </xdr:from>
        <xdr:to>
          <xdr:col>16</xdr:col>
          <xdr:colOff>514350</xdr:colOff>
          <xdr:row>1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Code to Color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376517</xdr:colOff>
      <xdr:row>58</xdr:row>
      <xdr:rowOff>8964</xdr:rowOff>
    </xdr:from>
    <xdr:to>
      <xdr:col>2</xdr:col>
      <xdr:colOff>831811</xdr:colOff>
      <xdr:row>60</xdr:row>
      <xdr:rowOff>139542</xdr:rowOff>
    </xdr:to>
    <xdr:sp macro="" textlink="">
      <xdr:nvSpPr>
        <xdr:cNvPr id="36" name="Month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76517" y="13007788"/>
          <a:ext cx="1800000" cy="578813"/>
        </a:xfrm>
        <a:prstGeom prst="chevron">
          <a:avLst/>
        </a:prstGeom>
        <a:solidFill>
          <a:srgbClr val="E2E6E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1452762</xdr:colOff>
      <xdr:row>58</xdr:row>
      <xdr:rowOff>8964</xdr:rowOff>
    </xdr:from>
    <xdr:to>
      <xdr:col>3</xdr:col>
      <xdr:colOff>150974</xdr:colOff>
      <xdr:row>60</xdr:row>
      <xdr:rowOff>139542</xdr:rowOff>
    </xdr:to>
    <xdr:sp macro="" textlink="">
      <xdr:nvSpPr>
        <xdr:cNvPr id="37" name="Month2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797468" y="13007788"/>
          <a:ext cx="1800000" cy="578813"/>
        </a:xfrm>
        <a:prstGeom prst="chevron">
          <a:avLst/>
        </a:prstGeom>
        <a:solidFill>
          <a:srgbClr val="CFD5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99572</xdr:colOff>
      <xdr:row>58</xdr:row>
      <xdr:rowOff>8964</xdr:rowOff>
    </xdr:from>
    <xdr:to>
      <xdr:col>6</xdr:col>
      <xdr:colOff>967243</xdr:colOff>
      <xdr:row>60</xdr:row>
      <xdr:rowOff>139542</xdr:rowOff>
    </xdr:to>
    <xdr:sp macro="" textlink="">
      <xdr:nvSpPr>
        <xdr:cNvPr id="38" name="Month3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5218419" y="13007788"/>
          <a:ext cx="1800000" cy="578813"/>
        </a:xfrm>
        <a:prstGeom prst="chevron">
          <a:avLst/>
        </a:prstGeom>
        <a:solidFill>
          <a:srgbClr val="B2BC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494499</xdr:colOff>
      <xdr:row>58</xdr:row>
      <xdr:rowOff>8964</xdr:rowOff>
    </xdr:from>
    <xdr:to>
      <xdr:col>10</xdr:col>
      <xdr:colOff>662923</xdr:colOff>
      <xdr:row>60</xdr:row>
      <xdr:rowOff>139542</xdr:rowOff>
    </xdr:to>
    <xdr:sp macro="" textlink="">
      <xdr:nvSpPr>
        <xdr:cNvPr id="39" name="Month4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639370" y="13007788"/>
          <a:ext cx="1800000" cy="578813"/>
        </a:xfrm>
        <a:prstGeom prst="chevron">
          <a:avLst/>
        </a:prstGeom>
        <a:solidFill>
          <a:srgbClr val="A2AE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376517</xdr:colOff>
      <xdr:row>58</xdr:row>
      <xdr:rowOff>8964</xdr:rowOff>
    </xdr:from>
    <xdr:to>
      <xdr:col>13</xdr:col>
      <xdr:colOff>518952</xdr:colOff>
      <xdr:row>60</xdr:row>
      <xdr:rowOff>139542</xdr:rowOff>
    </xdr:to>
    <xdr:sp macro="" textlink="">
      <xdr:nvSpPr>
        <xdr:cNvPr id="40" name="Month5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9825317" y="13007788"/>
          <a:ext cx="1881588" cy="578813"/>
        </a:xfrm>
        <a:prstGeom prst="chevron">
          <a:avLst/>
        </a:prstGeom>
        <a:solidFill>
          <a:srgbClr val="98A5B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49</xdr:row>
      <xdr:rowOff>0</xdr:rowOff>
    </xdr:from>
    <xdr:to>
      <xdr:col>2</xdr:col>
      <xdr:colOff>2872741</xdr:colOff>
      <xdr:row>51</xdr:row>
      <xdr:rowOff>43454</xdr:rowOff>
    </xdr:to>
    <xdr:grpSp>
      <xdr:nvGrpSpPr>
        <xdr:cNvPr id="55" name="LegendBox">
          <a:extLst>
            <a:ext uri="{FF2B5EF4-FFF2-40B4-BE49-F238E27FC236}">
              <a16:creationId xmlns:a16="http://schemas.microsoft.com/office/drawing/2014/main" id="{1ACD7EEE-E3AE-43CF-80AD-6C78906A1E30}"/>
            </a:ext>
          </a:extLst>
        </xdr:cNvPr>
        <xdr:cNvGrpSpPr>
          <a:grpSpLocks noChangeAspect="1"/>
        </xdr:cNvGrpSpPr>
      </xdr:nvGrpSpPr>
      <xdr:grpSpPr>
        <a:xfrm>
          <a:off x="0" y="10432676"/>
          <a:ext cx="4217447" cy="469278"/>
          <a:chOff x="10620755" y="599457"/>
          <a:chExt cx="4139150" cy="524498"/>
        </a:xfrm>
        <a:effectLst/>
      </xdr:grpSpPr>
      <xdr:sp macro="" textlink="">
        <xdr:nvSpPr>
          <xdr:cNvPr id="56" name="Bar_P_OnGoing">
            <a:extLst>
              <a:ext uri="{FF2B5EF4-FFF2-40B4-BE49-F238E27FC236}">
                <a16:creationId xmlns:a16="http://schemas.microsoft.com/office/drawing/2014/main" id="{F53CBAEC-F4C7-4ED7-9CFC-1555CBFA7DFF}"/>
              </a:ext>
            </a:extLst>
          </xdr:cNvPr>
          <xdr:cNvSpPr/>
        </xdr:nvSpPr>
        <xdr:spPr>
          <a:xfrm>
            <a:off x="11226178" y="603401"/>
            <a:ext cx="804032" cy="224487"/>
          </a:xfrm>
          <a:prstGeom prst="roundRect">
            <a:avLst/>
          </a:prstGeom>
          <a:solidFill>
            <a:schemeClr val="accent1">
              <a:lumMod val="60000"/>
              <a:lumOff val="40000"/>
              <a:alpha val="60000"/>
            </a:schemeClr>
          </a:solidFill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i="1">
                <a:solidFill>
                  <a:schemeClr val="tx1"/>
                </a:solidFill>
              </a:rPr>
              <a:t>정상</a:t>
            </a:r>
          </a:p>
        </xdr:txBody>
      </xdr:sp>
      <xdr:sp macro="" textlink="">
        <xdr:nvSpPr>
          <xdr:cNvPr id="57" name="Bar_P_Complete">
            <a:extLst>
              <a:ext uri="{FF2B5EF4-FFF2-40B4-BE49-F238E27FC236}">
                <a16:creationId xmlns:a16="http://schemas.microsoft.com/office/drawing/2014/main" id="{9B1E6B80-99DC-421A-B916-11484E64CE9A}"/>
              </a:ext>
            </a:extLst>
          </xdr:cNvPr>
          <xdr:cNvSpPr/>
        </xdr:nvSpPr>
        <xdr:spPr>
          <a:xfrm>
            <a:off x="12209359" y="603400"/>
            <a:ext cx="804032" cy="224487"/>
          </a:xfrm>
          <a:prstGeom prst="roundRect">
            <a:avLst/>
          </a:prstGeom>
          <a:solidFill>
            <a:schemeClr val="bg1">
              <a:lumMod val="75000"/>
              <a:alpha val="60000"/>
            </a:schemeClr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i="1">
                <a:solidFill>
                  <a:schemeClr val="tx1"/>
                </a:solidFill>
              </a:rPr>
              <a:t>완료</a:t>
            </a:r>
          </a:p>
        </xdr:txBody>
      </xdr:sp>
      <xdr:sp macro="" textlink="">
        <xdr:nvSpPr>
          <xdr:cNvPr id="58" name="Bar_P_Delay">
            <a:extLst>
              <a:ext uri="{FF2B5EF4-FFF2-40B4-BE49-F238E27FC236}">
                <a16:creationId xmlns:a16="http://schemas.microsoft.com/office/drawing/2014/main" id="{327A4589-ECFB-4CD8-B83D-1B5FA1E3219D}"/>
              </a:ext>
            </a:extLst>
          </xdr:cNvPr>
          <xdr:cNvSpPr/>
        </xdr:nvSpPr>
        <xdr:spPr>
          <a:xfrm>
            <a:off x="13178036" y="618179"/>
            <a:ext cx="804032" cy="224487"/>
          </a:xfrm>
          <a:prstGeom prst="roundRect">
            <a:avLst/>
          </a:prstGeom>
          <a:solidFill>
            <a:schemeClr val="accent4">
              <a:lumMod val="60000"/>
              <a:lumOff val="40000"/>
              <a:alpha val="60000"/>
            </a:schemeClr>
          </a:solidFill>
          <a:ln>
            <a:solidFill>
              <a:schemeClr val="accent4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i="1">
                <a:solidFill>
                  <a:schemeClr val="tx1"/>
                </a:solidFill>
              </a:rPr>
              <a:t>지연</a:t>
            </a:r>
          </a:p>
        </xdr:txBody>
      </xdr:sp>
      <xdr:sp macro="" textlink="">
        <xdr:nvSpPr>
          <xdr:cNvPr id="59" name="Bar_A_OnGoing">
            <a:extLst>
              <a:ext uri="{FF2B5EF4-FFF2-40B4-BE49-F238E27FC236}">
                <a16:creationId xmlns:a16="http://schemas.microsoft.com/office/drawing/2014/main" id="{D7E4B9CD-8FE8-47BA-A5B3-46275C0282DC}"/>
              </a:ext>
            </a:extLst>
          </xdr:cNvPr>
          <xdr:cNvSpPr/>
        </xdr:nvSpPr>
        <xdr:spPr>
          <a:xfrm>
            <a:off x="11226178" y="969674"/>
            <a:ext cx="804032" cy="57980"/>
          </a:xfrm>
          <a:prstGeom prst="rect">
            <a:avLst/>
          </a:prstGeom>
          <a:solidFill>
            <a:srgbClr val="0033CC">
              <a:alpha val="89804"/>
            </a:srgbClr>
          </a:solidFill>
          <a:ln>
            <a:solidFill>
              <a:srgbClr val="00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60" name="Bar_A_Complete">
            <a:extLst>
              <a:ext uri="{FF2B5EF4-FFF2-40B4-BE49-F238E27FC236}">
                <a16:creationId xmlns:a16="http://schemas.microsoft.com/office/drawing/2014/main" id="{9ECA0356-930F-4B82-A83A-BA960D207783}"/>
              </a:ext>
            </a:extLst>
          </xdr:cNvPr>
          <xdr:cNvSpPr/>
        </xdr:nvSpPr>
        <xdr:spPr>
          <a:xfrm>
            <a:off x="12209359" y="901492"/>
            <a:ext cx="804031" cy="57980"/>
          </a:xfrm>
          <a:prstGeom prst="rect">
            <a:avLst/>
          </a:prstGeom>
          <a:solidFill>
            <a:schemeClr val="tx1">
              <a:lumMod val="65000"/>
              <a:lumOff val="35000"/>
              <a:alpha val="89804"/>
            </a:schemeClr>
          </a:solidFill>
          <a:ln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61" name="Bar_A_Delay">
            <a:extLst>
              <a:ext uri="{FF2B5EF4-FFF2-40B4-BE49-F238E27FC236}">
                <a16:creationId xmlns:a16="http://schemas.microsoft.com/office/drawing/2014/main" id="{8FD07AE0-AA80-49C2-989D-7BFAAB9D7897}"/>
              </a:ext>
            </a:extLst>
          </xdr:cNvPr>
          <xdr:cNvSpPr/>
        </xdr:nvSpPr>
        <xdr:spPr>
          <a:xfrm>
            <a:off x="13178036" y="984453"/>
            <a:ext cx="804032" cy="57980"/>
          </a:xfrm>
          <a:prstGeom prst="rect">
            <a:avLst/>
          </a:prstGeom>
          <a:solidFill>
            <a:srgbClr val="C00000">
              <a:alpha val="90000"/>
            </a:srgbClr>
          </a:solidFill>
          <a:ln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4C587829-6943-47EA-A057-6F22A682A9E8}"/>
              </a:ext>
            </a:extLst>
          </xdr:cNvPr>
          <xdr:cNvSpPr txBox="1"/>
        </xdr:nvSpPr>
        <xdr:spPr>
          <a:xfrm>
            <a:off x="10620755" y="599457"/>
            <a:ext cx="622037" cy="25437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ko-KR" altLang="en-US" sz="1200" b="1" i="1">
                <a:solidFill>
                  <a:schemeClr val="tx1"/>
                </a:solidFill>
              </a:rPr>
              <a:t>계획</a:t>
            </a:r>
          </a:p>
        </xdr:txBody>
      </xdr:sp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21CBC46D-242B-46AA-AF12-9C8ECF7B7AD9}"/>
              </a:ext>
            </a:extLst>
          </xdr:cNvPr>
          <xdr:cNvSpPr txBox="1"/>
        </xdr:nvSpPr>
        <xdr:spPr>
          <a:xfrm>
            <a:off x="10620755" y="889811"/>
            <a:ext cx="622037" cy="23414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ko-KR" altLang="en-US" sz="1200" b="1" i="1">
                <a:solidFill>
                  <a:schemeClr val="tx1"/>
                </a:solidFill>
              </a:rPr>
              <a:t>실행</a:t>
            </a:r>
          </a:p>
        </xdr:txBody>
      </xdr:sp>
      <xdr:cxnSp macro="">
        <xdr:nvCxnSpPr>
          <xdr:cNvPr id="64" name="Arrow_Connect">
            <a:extLst>
              <a:ext uri="{FF2B5EF4-FFF2-40B4-BE49-F238E27FC236}">
                <a16:creationId xmlns:a16="http://schemas.microsoft.com/office/drawing/2014/main" id="{CB191384-6A81-4F8E-9792-7CDA95D2718F}"/>
              </a:ext>
            </a:extLst>
          </xdr:cNvPr>
          <xdr:cNvCxnSpPr/>
        </xdr:nvCxnSpPr>
        <xdr:spPr>
          <a:xfrm>
            <a:off x="14214286" y="868104"/>
            <a:ext cx="545619" cy="0"/>
          </a:xfrm>
          <a:prstGeom prst="straightConnector1">
            <a:avLst/>
          </a:prstGeom>
          <a:ln w="3175">
            <a:solidFill>
              <a:schemeClr val="accent4">
                <a:lumMod val="75000"/>
              </a:schemeClr>
            </a:solidFill>
            <a:prstDash val="sysDash"/>
            <a:headEnd type="diamond" w="med" len="med"/>
            <a:tailEnd type="triangle" w="med" len="med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5" name="MileStone_Color_Delay">
            <a:extLst>
              <a:ext uri="{FF2B5EF4-FFF2-40B4-BE49-F238E27FC236}">
                <a16:creationId xmlns:a16="http://schemas.microsoft.com/office/drawing/2014/main" id="{CBEA88A0-C45D-4989-8888-58CB0532BE4B}"/>
              </a:ext>
            </a:extLst>
          </xdr:cNvPr>
          <xdr:cNvSpPr/>
        </xdr:nvSpPr>
        <xdr:spPr>
          <a:xfrm>
            <a:off x="13893384" y="641937"/>
            <a:ext cx="170556" cy="169297"/>
          </a:xfrm>
          <a:prstGeom prst="diamond">
            <a:avLst/>
          </a:prstGeom>
          <a:solidFill>
            <a:srgbClr val="FF0000"/>
          </a:solidFill>
          <a:ln w="12700">
            <a:solidFill>
              <a:schemeClr val="accent4">
                <a:lumMod val="75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66" name="MileStone_Color_Complete">
            <a:extLst>
              <a:ext uri="{FF2B5EF4-FFF2-40B4-BE49-F238E27FC236}">
                <a16:creationId xmlns:a16="http://schemas.microsoft.com/office/drawing/2014/main" id="{6471596D-7DA9-4FA5-AF8A-1953D1702888}"/>
              </a:ext>
            </a:extLst>
          </xdr:cNvPr>
          <xdr:cNvSpPr/>
        </xdr:nvSpPr>
        <xdr:spPr>
          <a:xfrm>
            <a:off x="12921752" y="627158"/>
            <a:ext cx="170556" cy="169297"/>
          </a:xfrm>
          <a:prstGeom prst="diamond">
            <a:avLst/>
          </a:prstGeom>
          <a:solidFill>
            <a:schemeClr val="tx1">
              <a:lumMod val="85000"/>
              <a:lumOff val="15000"/>
            </a:schemeClr>
          </a:solidFill>
          <a:ln w="12700">
            <a:solidFill>
              <a:sysClr val="windowText" lastClr="0000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67" name="MileStone_Color_OnGoing">
            <a:extLst>
              <a:ext uri="{FF2B5EF4-FFF2-40B4-BE49-F238E27FC236}">
                <a16:creationId xmlns:a16="http://schemas.microsoft.com/office/drawing/2014/main" id="{214251CF-5633-4F48-AB92-FC5A98215CE9}"/>
              </a:ext>
            </a:extLst>
          </xdr:cNvPr>
          <xdr:cNvSpPr/>
        </xdr:nvSpPr>
        <xdr:spPr>
          <a:xfrm>
            <a:off x="11937772" y="641937"/>
            <a:ext cx="180410" cy="169297"/>
          </a:xfrm>
          <a:prstGeom prst="diamond">
            <a:avLst/>
          </a:prstGeom>
          <a:solidFill>
            <a:srgbClr val="00B0F0"/>
          </a:solidFill>
          <a:ln w="12700">
            <a:solidFill>
              <a:schemeClr val="tx1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  <xdr:sp macro="" textlink="">
        <xdr:nvSpPr>
          <xdr:cNvPr id="68" name="Bar_A_Complete_Delayed">
            <a:extLst>
              <a:ext uri="{FF2B5EF4-FFF2-40B4-BE49-F238E27FC236}">
                <a16:creationId xmlns:a16="http://schemas.microsoft.com/office/drawing/2014/main" id="{5272BE84-7A92-48C6-8C58-E26E499414FC}"/>
              </a:ext>
            </a:extLst>
          </xdr:cNvPr>
          <xdr:cNvSpPr/>
        </xdr:nvSpPr>
        <xdr:spPr>
          <a:xfrm>
            <a:off x="12209359" y="1035811"/>
            <a:ext cx="804031" cy="57980"/>
          </a:xfrm>
          <a:prstGeom prst="rect">
            <a:avLst/>
          </a:prstGeom>
          <a:solidFill>
            <a:schemeClr val="accent4">
              <a:lumMod val="60000"/>
              <a:lumOff val="40000"/>
              <a:alpha val="89804"/>
            </a:schemeClr>
          </a:solidFill>
          <a:ln>
            <a:solidFill>
              <a:schemeClr val="accent6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100" i="1">
              <a:solidFill>
                <a:srgbClr val="0000FF"/>
              </a:solidFill>
            </a:endParaRPr>
          </a:p>
        </xdr:txBody>
      </xdr:sp>
    </xdr:grpSp>
    <xdr:clientData fPrintsWithSheet="0"/>
  </xdr:twoCellAnchor>
</xdr:wsDr>
</file>

<file path=xl/theme/theme1.xml><?xml version="1.0" encoding="utf-8"?>
<a:theme xmlns:a="http://schemas.openxmlformats.org/drawingml/2006/main" name="Attitude">
  <a:themeElements>
    <a:clrScheme name="Attitud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1180AE"/>
      </a:accent1>
      <a:accent2>
        <a:srgbClr val="6C5B97"/>
      </a:accent2>
      <a:accent3>
        <a:srgbClr val="FCB239"/>
      </a:accent3>
      <a:accent4>
        <a:srgbClr val="D74061"/>
      </a:accent4>
      <a:accent5>
        <a:srgbClr val="F37A29"/>
      </a:accent5>
      <a:accent6>
        <a:srgbClr val="B66BA3"/>
      </a:accent6>
      <a:hlink>
        <a:srgbClr val="D2B356"/>
      </a:hlink>
      <a:folHlink>
        <a:srgbClr val="C59169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C12"/>
  <sheetViews>
    <sheetView workbookViewId="0">
      <selection activeCell="C6" sqref="C6"/>
    </sheetView>
  </sheetViews>
  <sheetFormatPr defaultRowHeight="16.5"/>
  <cols>
    <col min="2" max="2" width="8.75" style="50"/>
    <col min="3" max="3" width="60.75" customWidth="1"/>
  </cols>
  <sheetData>
    <row r="4" spans="2:3">
      <c r="B4" s="50" t="s">
        <v>34</v>
      </c>
      <c r="C4" t="s">
        <v>33</v>
      </c>
    </row>
    <row r="5" spans="2:3" ht="49.5">
      <c r="B5" s="50">
        <v>2.1</v>
      </c>
      <c r="C5" s="8" t="s">
        <v>35</v>
      </c>
    </row>
    <row r="6" spans="2:3" ht="82.5">
      <c r="B6" s="50">
        <v>2.2000000000000002</v>
      </c>
      <c r="C6" s="12" t="s">
        <v>65</v>
      </c>
    </row>
    <row r="7" spans="2:3" ht="33">
      <c r="B7" s="50">
        <v>2.4</v>
      </c>
      <c r="C7" s="12" t="s">
        <v>72</v>
      </c>
    </row>
    <row r="8" spans="2:3" ht="33">
      <c r="B8" s="50">
        <v>2.5</v>
      </c>
      <c r="C8" s="12" t="s">
        <v>83</v>
      </c>
    </row>
    <row r="9" spans="2:3">
      <c r="B9" s="50" t="s">
        <v>133</v>
      </c>
      <c r="C9" s="12" t="s">
        <v>135</v>
      </c>
    </row>
    <row r="10" spans="2:3">
      <c r="B10" s="50" t="s">
        <v>136</v>
      </c>
      <c r="C10" s="12" t="s">
        <v>137</v>
      </c>
    </row>
    <row r="11" spans="2:3">
      <c r="B11" s="50" t="s">
        <v>172</v>
      </c>
      <c r="C11" s="12" t="s">
        <v>173</v>
      </c>
    </row>
    <row r="12" spans="2:3" ht="115.5">
      <c r="B12" s="50" t="s">
        <v>174</v>
      </c>
      <c r="C12" s="12" t="s">
        <v>177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  <pageSetUpPr fitToPage="1"/>
  </sheetPr>
  <dimension ref="A1:LM150"/>
  <sheetViews>
    <sheetView showGridLines="0" tabSelected="1" showRuler="0" zoomScale="115" zoomScaleNormal="115" zoomScalePageLayoutView="70" workbookViewId="0">
      <selection activeCell="C37" sqref="C37"/>
    </sheetView>
  </sheetViews>
  <sheetFormatPr defaultRowHeight="30" customHeight="1" outlineLevelRow="4"/>
  <cols>
    <col min="1" max="1" width="3.25" customWidth="1"/>
    <col min="2" max="2" width="10.125" customWidth="1"/>
    <col min="3" max="3" width="34.125" customWidth="1"/>
    <col min="4" max="6" width="11.75" customWidth="1"/>
    <col min="7" max="7" width="9.75" customWidth="1"/>
    <col min="8" max="8" width="10.5" customWidth="1"/>
    <col min="9" max="9" width="12" customWidth="1"/>
    <col min="10" max="10" width="9.625" customWidth="1"/>
    <col min="11" max="11" width="10.25" customWidth="1"/>
    <col min="12" max="13" width="7.25" bestFit="1" customWidth="1"/>
    <col min="14" max="14" width="6" customWidth="1"/>
    <col min="15" max="15" width="7.625" bestFit="1" customWidth="1"/>
    <col min="16" max="16" width="7.25" bestFit="1" customWidth="1"/>
    <col min="17" max="17" width="9.75" customWidth="1"/>
    <col min="18" max="18" width="10.75" customWidth="1"/>
    <col min="19" max="20" width="9.75" customWidth="1"/>
    <col min="21" max="325" width="3.125" customWidth="1"/>
    <col min="326" max="6806" width="3.25" customWidth="1"/>
  </cols>
  <sheetData>
    <row r="1" spans="1:325" ht="162.6" customHeight="1">
      <c r="A1" s="7"/>
      <c r="B1" s="100" t="s">
        <v>325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1"/>
      <c r="T1" s="101"/>
    </row>
    <row r="2" spans="1:325" ht="38.450000000000003" customHeight="1">
      <c r="A2" s="7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2"/>
      <c r="T2" s="102"/>
    </row>
    <row r="3" spans="1:325" ht="63.6" customHeight="1">
      <c r="A3" s="102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4" t="s">
        <v>67</v>
      </c>
      <c r="P3" s="104" t="s">
        <v>66</v>
      </c>
      <c r="Q3" s="104" t="s">
        <v>68</v>
      </c>
      <c r="R3" s="103"/>
      <c r="S3" s="102"/>
      <c r="T3" s="102"/>
    </row>
    <row r="4" spans="1:325" ht="30.6" customHeight="1">
      <c r="A4" s="105"/>
      <c r="B4" s="106"/>
      <c r="C4" s="105"/>
      <c r="D4" s="105"/>
      <c r="E4" s="105"/>
      <c r="F4" s="105"/>
      <c r="G4" s="105"/>
      <c r="H4" s="105"/>
      <c r="I4" s="107"/>
      <c r="J4" s="108"/>
      <c r="K4" s="109"/>
      <c r="L4" s="110"/>
      <c r="M4" s="110"/>
      <c r="N4" s="105"/>
      <c r="O4" s="111">
        <f ca="1">TODAY()</f>
        <v>45965</v>
      </c>
      <c r="P4" s="111">
        <v>43922</v>
      </c>
      <c r="Q4" s="111">
        <v>44226</v>
      </c>
      <c r="R4" s="105"/>
      <c r="S4" s="112"/>
      <c r="U4" s="132"/>
      <c r="V4" s="132"/>
      <c r="W4" s="132"/>
      <c r="X4" s="132"/>
      <c r="Y4" s="132"/>
      <c r="Z4" s="132"/>
      <c r="AA4" s="132"/>
      <c r="AB4" s="132"/>
      <c r="AC4" s="132"/>
      <c r="AD4" s="132"/>
      <c r="AE4" s="132"/>
      <c r="AF4" s="132"/>
      <c r="AG4" s="132"/>
      <c r="AH4" s="132"/>
      <c r="AI4" s="132"/>
      <c r="AJ4" s="132" t="s">
        <v>220</v>
      </c>
      <c r="AK4" s="132"/>
      <c r="AL4" s="132"/>
      <c r="AM4" s="132"/>
      <c r="AN4" s="132"/>
      <c r="AO4" s="132"/>
      <c r="AP4" s="132"/>
      <c r="AQ4" s="132"/>
      <c r="AR4" s="132"/>
      <c r="AS4" s="132"/>
      <c r="AT4" s="132"/>
      <c r="AU4" s="132"/>
      <c r="AV4" s="132"/>
      <c r="AW4" s="132"/>
      <c r="AX4" s="132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 t="s">
        <v>221</v>
      </c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3"/>
      <c r="CB4" s="133"/>
      <c r="CC4" s="133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 t="s">
        <v>222</v>
      </c>
      <c r="CS4" s="132"/>
      <c r="CT4" s="132"/>
      <c r="CU4" s="132"/>
      <c r="CV4" s="132"/>
      <c r="CW4" s="132"/>
      <c r="CX4" s="132"/>
      <c r="CY4" s="132"/>
      <c r="CZ4" s="132"/>
      <c r="DA4" s="132"/>
      <c r="DB4" s="132"/>
      <c r="DC4" s="132"/>
      <c r="DD4" s="132"/>
      <c r="DE4" s="132"/>
      <c r="DF4" s="132"/>
      <c r="DG4" s="132"/>
      <c r="DH4" s="133"/>
      <c r="DI4" s="133"/>
      <c r="DJ4" s="133"/>
      <c r="DK4" s="133"/>
      <c r="DL4" s="133"/>
      <c r="DM4" s="133"/>
      <c r="DN4" s="133"/>
      <c r="DO4" s="133"/>
      <c r="DP4" s="133"/>
      <c r="DQ4" s="133"/>
      <c r="DR4" s="133"/>
      <c r="DS4" s="133"/>
      <c r="DT4" s="133"/>
      <c r="DU4" s="133"/>
      <c r="DV4" s="133"/>
      <c r="DW4" s="133" t="s">
        <v>223</v>
      </c>
      <c r="DX4" s="133"/>
      <c r="DY4" s="133"/>
      <c r="DZ4" s="133"/>
      <c r="EA4" s="133"/>
      <c r="EB4" s="133"/>
      <c r="EC4" s="133"/>
      <c r="ED4" s="133"/>
      <c r="EE4" s="133"/>
      <c r="EF4" s="133"/>
      <c r="EG4" s="133"/>
      <c r="EH4" s="133"/>
      <c r="EI4" s="133"/>
      <c r="EJ4" s="133"/>
      <c r="EK4" s="133"/>
      <c r="EL4" s="133"/>
      <c r="EM4" s="132"/>
      <c r="EN4" s="132"/>
      <c r="EO4" s="132"/>
      <c r="EP4" s="132"/>
      <c r="EQ4" s="132"/>
      <c r="ER4" s="132"/>
      <c r="ES4" s="132"/>
      <c r="ET4" s="132"/>
      <c r="EU4" s="132"/>
      <c r="EV4" s="132"/>
      <c r="EW4" s="132"/>
      <c r="EX4" s="132"/>
      <c r="EY4" s="132"/>
      <c r="EZ4" s="132"/>
      <c r="FA4" s="132"/>
      <c r="FB4" s="132" t="s">
        <v>224</v>
      </c>
      <c r="FC4" s="132"/>
      <c r="FD4" s="132"/>
      <c r="FE4" s="132"/>
      <c r="FF4" s="132"/>
      <c r="FG4" s="132"/>
      <c r="FH4" s="132"/>
      <c r="FI4" s="132"/>
      <c r="FJ4" s="132"/>
      <c r="FK4" s="132"/>
      <c r="FL4" s="132"/>
      <c r="FM4" s="132"/>
      <c r="FN4" s="132"/>
      <c r="FO4" s="132"/>
      <c r="FP4" s="132"/>
      <c r="FQ4" s="132"/>
      <c r="FR4" s="133"/>
      <c r="FS4" s="133"/>
      <c r="FT4" s="133"/>
      <c r="FU4" s="133"/>
      <c r="FV4" s="133"/>
      <c r="FW4" s="133"/>
      <c r="FX4" s="133"/>
      <c r="FY4" s="133"/>
      <c r="FZ4" s="133"/>
      <c r="GA4" s="133"/>
      <c r="GB4" s="133"/>
      <c r="GC4" s="133"/>
      <c r="GD4" s="133"/>
      <c r="GE4" s="133"/>
      <c r="GF4" s="133" t="s">
        <v>225</v>
      </c>
      <c r="GG4" s="133"/>
      <c r="GH4" s="133"/>
      <c r="GI4" s="133"/>
      <c r="GJ4" s="133"/>
      <c r="GK4" s="133"/>
      <c r="GL4" s="133"/>
      <c r="GM4" s="133"/>
      <c r="GN4" s="133"/>
      <c r="GO4" s="133"/>
      <c r="GP4" s="133"/>
      <c r="GQ4" s="133"/>
      <c r="GR4" s="133"/>
      <c r="GS4" s="133"/>
      <c r="GT4" s="133"/>
      <c r="GU4" s="133"/>
      <c r="GV4" s="132"/>
      <c r="GW4" s="132"/>
      <c r="GX4" s="132"/>
      <c r="GY4" s="132"/>
      <c r="GZ4" s="132"/>
      <c r="HA4" s="132"/>
      <c r="HB4" s="132"/>
      <c r="HC4" s="132"/>
      <c r="HD4" s="132"/>
      <c r="HE4" s="132"/>
      <c r="HF4" s="132"/>
      <c r="HG4" s="132"/>
      <c r="HH4" s="132"/>
      <c r="HI4" s="132"/>
      <c r="HJ4" s="132"/>
      <c r="HK4" s="132" t="s">
        <v>226</v>
      </c>
      <c r="HL4" s="132"/>
      <c r="HM4" s="132"/>
      <c r="HN4" s="132"/>
      <c r="HO4" s="132"/>
      <c r="HP4" s="132"/>
      <c r="HQ4" s="132"/>
      <c r="HR4" s="132"/>
      <c r="HS4" s="132"/>
      <c r="HT4" s="132"/>
      <c r="HU4" s="132"/>
      <c r="HV4" s="132"/>
      <c r="HW4" s="132"/>
      <c r="HX4" s="132"/>
      <c r="HY4" s="132"/>
      <c r="HZ4" s="132"/>
      <c r="IA4" s="133"/>
      <c r="IB4" s="133"/>
      <c r="IC4" s="133"/>
      <c r="ID4" s="133"/>
      <c r="IE4" s="133"/>
      <c r="IF4" s="133"/>
      <c r="IG4" s="133"/>
      <c r="IH4" s="133"/>
      <c r="II4" s="133"/>
      <c r="IJ4" s="133"/>
      <c r="IK4" s="133"/>
      <c r="IL4" s="133"/>
      <c r="IM4" s="133"/>
      <c r="IN4" s="133"/>
      <c r="IO4" s="133"/>
      <c r="IP4" s="133" t="s">
        <v>227</v>
      </c>
      <c r="IQ4" s="133"/>
      <c r="IR4" s="133"/>
      <c r="IS4" s="133"/>
      <c r="IT4" s="133"/>
      <c r="IU4" s="133"/>
      <c r="IV4" s="133"/>
      <c r="IW4" s="133"/>
      <c r="IX4" s="133"/>
      <c r="IY4" s="133"/>
      <c r="IZ4" s="133"/>
      <c r="JA4" s="133"/>
      <c r="JB4" s="133"/>
      <c r="JC4" s="133"/>
      <c r="JD4" s="133"/>
      <c r="JE4" s="132"/>
      <c r="JF4" s="132"/>
      <c r="JG4" s="132"/>
      <c r="JH4" s="132"/>
      <c r="JI4" s="132"/>
      <c r="JJ4" s="132"/>
      <c r="JK4" s="132"/>
      <c r="JL4" s="132"/>
      <c r="JM4" s="132"/>
      <c r="JN4" s="132"/>
      <c r="JO4" s="132"/>
      <c r="JP4" s="132"/>
      <c r="JQ4" s="132"/>
      <c r="JR4" s="132"/>
      <c r="JS4" s="132"/>
      <c r="JT4" s="132" t="s">
        <v>228</v>
      </c>
      <c r="JU4" s="132"/>
      <c r="JV4" s="132"/>
      <c r="JW4" s="132"/>
      <c r="JX4" s="132"/>
      <c r="JY4" s="132"/>
      <c r="JZ4" s="132"/>
      <c r="KA4" s="132"/>
      <c r="KB4" s="132"/>
      <c r="KC4" s="132"/>
      <c r="KD4" s="132"/>
      <c r="KE4" s="132"/>
      <c r="KF4" s="132"/>
      <c r="KG4" s="132"/>
      <c r="KH4" s="132"/>
      <c r="KI4" s="132"/>
      <c r="KJ4" s="133"/>
      <c r="KK4" s="133"/>
      <c r="KL4" s="133"/>
      <c r="KM4" s="133"/>
      <c r="KN4" s="133"/>
      <c r="KO4" s="133"/>
      <c r="KP4" s="133"/>
      <c r="KQ4" s="133"/>
      <c r="KR4" s="133"/>
      <c r="KS4" s="133"/>
      <c r="KT4" s="133"/>
      <c r="KU4" s="133"/>
      <c r="KV4" s="133"/>
      <c r="KW4" s="133"/>
      <c r="KX4" s="133" t="s">
        <v>317</v>
      </c>
      <c r="KY4" s="133"/>
      <c r="KZ4" s="133"/>
      <c r="LA4" s="133"/>
      <c r="LB4" s="133"/>
      <c r="LC4" s="133"/>
      <c r="LD4" s="133"/>
      <c r="LE4" s="133"/>
      <c r="LF4" s="133"/>
      <c r="LG4" s="133"/>
      <c r="LH4" s="133"/>
      <c r="LI4" s="133"/>
      <c r="LJ4" s="133"/>
      <c r="LK4" s="133"/>
      <c r="LL4" s="133"/>
      <c r="LM4" s="133"/>
    </row>
    <row r="5" spans="1:325" ht="22.9" customHeight="1">
      <c r="A5" s="11"/>
      <c r="B5" s="113"/>
      <c r="C5" s="11"/>
      <c r="D5" s="11"/>
      <c r="E5" s="11"/>
      <c r="F5" s="11"/>
      <c r="G5" s="11"/>
      <c r="H5" s="114"/>
      <c r="I5" s="114"/>
      <c r="J5" s="115"/>
      <c r="K5" s="114"/>
      <c r="L5" s="116"/>
      <c r="M5" s="116"/>
      <c r="N5" s="11"/>
      <c r="O5" s="11"/>
      <c r="P5" s="11"/>
      <c r="Q5" s="11"/>
      <c r="R5" s="11"/>
      <c r="S5" s="114"/>
      <c r="U5" s="153"/>
      <c r="V5" s="153" t="s">
        <v>314</v>
      </c>
      <c r="W5" s="153"/>
      <c r="X5" s="153"/>
      <c r="Y5" s="142"/>
      <c r="Z5" s="142"/>
      <c r="AA5" s="142"/>
      <c r="AB5" s="142" t="s">
        <v>315</v>
      </c>
      <c r="AC5" s="142"/>
      <c r="AD5" s="142"/>
      <c r="AE5" s="142"/>
      <c r="AF5" s="153"/>
      <c r="AG5" s="153"/>
      <c r="AH5" s="153"/>
      <c r="AI5" s="153" t="s">
        <v>316</v>
      </c>
      <c r="AJ5" s="153"/>
      <c r="AK5" s="153"/>
      <c r="AL5" s="153"/>
      <c r="AM5" s="142"/>
      <c r="AN5" s="142"/>
      <c r="AO5" s="142"/>
      <c r="AP5" s="142" t="s">
        <v>229</v>
      </c>
      <c r="AQ5" s="142"/>
      <c r="AR5" s="142"/>
      <c r="AS5" s="142"/>
      <c r="AT5" s="153"/>
      <c r="AU5" s="153"/>
      <c r="AV5" s="153"/>
      <c r="AW5" s="153" t="s">
        <v>230</v>
      </c>
      <c r="AX5" s="136"/>
      <c r="AY5" s="145"/>
      <c r="AZ5" s="153"/>
      <c r="BA5" s="142"/>
      <c r="BB5" s="142"/>
      <c r="BC5" s="142"/>
      <c r="BD5" s="142" t="s">
        <v>231</v>
      </c>
      <c r="BE5" s="142"/>
      <c r="BF5" s="142"/>
      <c r="BG5" s="142"/>
      <c r="BH5" s="153"/>
      <c r="BI5" s="153"/>
      <c r="BJ5" s="153"/>
      <c r="BK5" s="153" t="s">
        <v>232</v>
      </c>
      <c r="BL5" s="153"/>
      <c r="BM5" s="153"/>
      <c r="BN5" s="153"/>
      <c r="BO5" s="142"/>
      <c r="BP5" s="142"/>
      <c r="BQ5" s="142"/>
      <c r="BR5" s="142" t="s">
        <v>233</v>
      </c>
      <c r="BS5" s="142"/>
      <c r="BT5" s="142"/>
      <c r="BU5" s="142"/>
      <c r="BV5" s="153"/>
      <c r="BW5" s="153"/>
      <c r="BX5" s="153"/>
      <c r="BY5" s="153" t="s">
        <v>234</v>
      </c>
      <c r="BZ5" s="153"/>
      <c r="CA5" s="153"/>
      <c r="CB5" s="153"/>
      <c r="CC5" s="134"/>
      <c r="CD5" s="148"/>
      <c r="CE5" s="142"/>
      <c r="CF5" s="142" t="s">
        <v>235</v>
      </c>
      <c r="CG5" s="142"/>
      <c r="CH5" s="142"/>
      <c r="CI5" s="142"/>
      <c r="CJ5" s="153"/>
      <c r="CK5" s="153"/>
      <c r="CL5" s="153"/>
      <c r="CM5" s="153" t="s">
        <v>236</v>
      </c>
      <c r="CN5" s="153"/>
      <c r="CO5" s="153"/>
      <c r="CP5" s="153"/>
      <c r="CQ5" s="142"/>
      <c r="CR5" s="142"/>
      <c r="CS5" s="142"/>
      <c r="CT5" s="142" t="s">
        <v>237</v>
      </c>
      <c r="CU5" s="142"/>
      <c r="CV5" s="142"/>
      <c r="CW5" s="142"/>
      <c r="CX5" s="153"/>
      <c r="CY5" s="153"/>
      <c r="CZ5" s="153"/>
      <c r="DA5" s="153" t="s">
        <v>238</v>
      </c>
      <c r="DB5" s="153"/>
      <c r="DC5" s="153"/>
      <c r="DD5" s="153"/>
      <c r="DE5" s="142"/>
      <c r="DF5" s="142"/>
      <c r="DG5" s="134"/>
      <c r="DH5" s="148" t="s">
        <v>239</v>
      </c>
      <c r="DI5" s="142"/>
      <c r="DJ5" s="142"/>
      <c r="DK5" s="142"/>
      <c r="DL5" s="153"/>
      <c r="DM5" s="153"/>
      <c r="DN5" s="153"/>
      <c r="DO5" s="153" t="s">
        <v>240</v>
      </c>
      <c r="DP5" s="153"/>
      <c r="DQ5" s="153"/>
      <c r="DR5" s="153"/>
      <c r="DS5" s="142"/>
      <c r="DT5" s="142"/>
      <c r="DU5" s="142"/>
      <c r="DV5" s="142" t="s">
        <v>241</v>
      </c>
      <c r="DW5" s="142"/>
      <c r="DX5" s="142"/>
      <c r="DY5" s="142"/>
      <c r="DZ5" s="153"/>
      <c r="EA5" s="153"/>
      <c r="EB5" s="153"/>
      <c r="EC5" s="153" t="s">
        <v>242</v>
      </c>
      <c r="ED5" s="153"/>
      <c r="EE5" s="153"/>
      <c r="EF5" s="153"/>
      <c r="EG5" s="142"/>
      <c r="EH5" s="142"/>
      <c r="EI5" s="142"/>
      <c r="EJ5" s="142" t="s">
        <v>243</v>
      </c>
      <c r="EK5" s="142"/>
      <c r="EL5" s="134"/>
      <c r="EM5" s="148"/>
      <c r="EN5" s="153"/>
      <c r="EO5" s="153"/>
      <c r="EP5" s="153"/>
      <c r="EQ5" s="153" t="s">
        <v>244</v>
      </c>
      <c r="ER5" s="153"/>
      <c r="ES5" s="153"/>
      <c r="ET5" s="153"/>
      <c r="EU5" s="142"/>
      <c r="EV5" s="142"/>
      <c r="EW5" s="142"/>
      <c r="EX5" s="142" t="s">
        <v>245</v>
      </c>
      <c r="EY5" s="142"/>
      <c r="EZ5" s="142"/>
      <c r="FA5" s="142"/>
      <c r="FB5" s="153"/>
      <c r="FC5" s="153"/>
      <c r="FD5" s="153"/>
      <c r="FE5" s="153" t="s">
        <v>246</v>
      </c>
      <c r="FF5" s="153"/>
      <c r="FG5" s="153"/>
      <c r="FH5" s="153"/>
      <c r="FI5" s="142"/>
      <c r="FJ5" s="142"/>
      <c r="FK5" s="142"/>
      <c r="FL5" s="142" t="s">
        <v>247</v>
      </c>
      <c r="FM5" s="142"/>
      <c r="FN5" s="142"/>
      <c r="FO5" s="142"/>
      <c r="FP5" s="153"/>
      <c r="FQ5" s="136"/>
      <c r="FR5" s="145"/>
      <c r="FS5" s="153" t="s">
        <v>248</v>
      </c>
      <c r="FT5" s="153"/>
      <c r="FU5" s="153"/>
      <c r="FV5" s="153"/>
      <c r="FW5" s="142"/>
      <c r="FX5" s="142"/>
      <c r="FY5" s="142"/>
      <c r="FZ5" s="142" t="s">
        <v>249</v>
      </c>
      <c r="GA5" s="142"/>
      <c r="GB5" s="142"/>
      <c r="GC5" s="142"/>
      <c r="GD5" s="153"/>
      <c r="GE5" s="153"/>
      <c r="GF5" s="153"/>
      <c r="GG5" s="153" t="s">
        <v>250</v>
      </c>
      <c r="GH5" s="153"/>
      <c r="GI5" s="153"/>
      <c r="GJ5" s="153"/>
      <c r="GK5" s="142"/>
      <c r="GL5" s="142"/>
      <c r="GM5" s="142"/>
      <c r="GN5" s="142" t="s">
        <v>251</v>
      </c>
      <c r="GO5" s="142"/>
      <c r="GP5" s="142"/>
      <c r="GQ5" s="142"/>
      <c r="GR5" s="153"/>
      <c r="GS5" s="153"/>
      <c r="GT5" s="153"/>
      <c r="GU5" s="136" t="s">
        <v>252</v>
      </c>
      <c r="GV5" s="145"/>
      <c r="GW5" s="153"/>
      <c r="GX5" s="153"/>
      <c r="GY5" s="142"/>
      <c r="GZ5" s="142"/>
      <c r="HA5" s="142"/>
      <c r="HB5" s="142" t="s">
        <v>253</v>
      </c>
      <c r="HC5" s="142"/>
      <c r="HD5" s="142"/>
      <c r="HE5" s="142"/>
      <c r="HF5" s="153"/>
      <c r="HG5" s="153"/>
      <c r="HH5" s="153"/>
      <c r="HI5" s="153" t="s">
        <v>254</v>
      </c>
      <c r="HJ5" s="153"/>
      <c r="HK5" s="153"/>
      <c r="HL5" s="153"/>
      <c r="HM5" s="142"/>
      <c r="HN5" s="142"/>
      <c r="HO5" s="142"/>
      <c r="HP5" s="142" t="s">
        <v>255</v>
      </c>
      <c r="HQ5" s="142"/>
      <c r="HR5" s="142"/>
      <c r="HS5" s="142"/>
      <c r="HT5" s="153"/>
      <c r="HU5" s="153"/>
      <c r="HV5" s="153"/>
      <c r="HW5" s="153" t="s">
        <v>256</v>
      </c>
      <c r="HX5" s="153"/>
      <c r="HY5" s="153"/>
      <c r="HZ5" s="136"/>
      <c r="IA5" s="148"/>
      <c r="IB5" s="142"/>
      <c r="IC5" s="142"/>
      <c r="ID5" s="142" t="s">
        <v>257</v>
      </c>
      <c r="IE5" s="142"/>
      <c r="IF5" s="142"/>
      <c r="IG5" s="142"/>
      <c r="IH5" s="153"/>
      <c r="II5" s="153"/>
      <c r="IJ5" s="153"/>
      <c r="IK5" s="153" t="s">
        <v>258</v>
      </c>
      <c r="IL5" s="153"/>
      <c r="IM5" s="153"/>
      <c r="IN5" s="153"/>
      <c r="IO5" s="142"/>
      <c r="IP5" s="142"/>
      <c r="IQ5" s="142"/>
      <c r="IR5" s="142" t="s">
        <v>259</v>
      </c>
      <c r="IS5" s="142"/>
      <c r="IT5" s="142"/>
      <c r="IU5" s="142"/>
      <c r="IV5" s="153"/>
      <c r="IW5" s="153"/>
      <c r="IX5" s="153"/>
      <c r="IY5" s="153" t="s">
        <v>260</v>
      </c>
      <c r="IZ5" s="153"/>
      <c r="JA5" s="153"/>
      <c r="JB5" s="153"/>
      <c r="JC5" s="142"/>
      <c r="JD5" s="134"/>
      <c r="JE5" s="148"/>
      <c r="JF5" s="142" t="s">
        <v>261</v>
      </c>
      <c r="JG5" s="142"/>
      <c r="JH5" s="142"/>
      <c r="JI5" s="142"/>
      <c r="JJ5" s="153"/>
      <c r="JK5" s="153"/>
      <c r="JL5" s="153"/>
      <c r="JM5" s="153" t="s">
        <v>262</v>
      </c>
      <c r="JN5" s="153"/>
      <c r="JO5" s="153"/>
      <c r="JP5" s="153"/>
      <c r="JQ5" s="142"/>
      <c r="JR5" s="142"/>
      <c r="JS5" s="142"/>
      <c r="JT5" s="142" t="s">
        <v>263</v>
      </c>
      <c r="JU5" s="142"/>
      <c r="JV5" s="142"/>
      <c r="JW5" s="142"/>
      <c r="JX5" s="153"/>
      <c r="JY5" s="153"/>
      <c r="JZ5" s="153"/>
      <c r="KA5" s="153" t="s">
        <v>264</v>
      </c>
      <c r="KB5" s="153"/>
      <c r="KC5" s="153"/>
      <c r="KD5" s="153"/>
      <c r="KE5" s="142"/>
      <c r="KF5" s="142"/>
      <c r="KG5" s="142" t="s">
        <v>265</v>
      </c>
      <c r="KH5" s="142"/>
      <c r="KI5" s="134"/>
      <c r="KJ5" s="148" t="s">
        <v>318</v>
      </c>
      <c r="KK5" s="142"/>
      <c r="KL5" s="153"/>
      <c r="KM5" s="153"/>
      <c r="KN5" s="153"/>
      <c r="KO5" s="153" t="s">
        <v>319</v>
      </c>
      <c r="KP5" s="153"/>
      <c r="KQ5" s="153"/>
      <c r="KR5" s="153"/>
      <c r="KS5" s="142"/>
      <c r="KT5" s="142"/>
      <c r="KU5" s="142"/>
      <c r="KV5" s="142" t="s">
        <v>320</v>
      </c>
      <c r="KW5" s="142"/>
      <c r="KX5" s="142"/>
      <c r="KY5" s="142"/>
      <c r="KZ5" s="153"/>
      <c r="LA5" s="153"/>
      <c r="LB5" s="153"/>
      <c r="LC5" s="153" t="s">
        <v>321</v>
      </c>
      <c r="LD5" s="153"/>
      <c r="LE5" s="153"/>
      <c r="LF5" s="153"/>
      <c r="LG5" s="142"/>
      <c r="LH5" s="142"/>
      <c r="LI5" s="142"/>
      <c r="LJ5" s="142" t="s">
        <v>322</v>
      </c>
      <c r="LK5" s="142"/>
      <c r="LL5" s="142"/>
      <c r="LM5" s="134"/>
    </row>
    <row r="6" spans="1:325" ht="25.15" customHeight="1">
      <c r="A6" s="117"/>
      <c r="B6" s="117"/>
      <c r="C6" s="117"/>
      <c r="D6" s="117"/>
      <c r="E6" s="117"/>
      <c r="F6" s="117"/>
      <c r="G6" s="117"/>
      <c r="H6" s="118"/>
      <c r="I6" s="118"/>
      <c r="J6" s="118"/>
      <c r="K6" s="119"/>
      <c r="L6" s="4" t="s">
        <v>52</v>
      </c>
      <c r="M6" s="3"/>
      <c r="N6" s="3"/>
      <c r="O6" s="3" t="s">
        <v>53</v>
      </c>
      <c r="P6" s="3"/>
      <c r="Q6" s="3"/>
      <c r="R6" s="120"/>
      <c r="S6" s="40"/>
      <c r="U6" s="156">
        <v>43922</v>
      </c>
      <c r="V6" s="156">
        <v>43923</v>
      </c>
      <c r="W6" s="156">
        <v>43924</v>
      </c>
      <c r="X6" s="154">
        <v>43925</v>
      </c>
      <c r="Y6" s="152">
        <v>43926</v>
      </c>
      <c r="Z6" s="143">
        <v>43927</v>
      </c>
      <c r="AA6" s="143">
        <v>43928</v>
      </c>
      <c r="AB6" s="143">
        <v>43929</v>
      </c>
      <c r="AC6" s="143">
        <v>43930</v>
      </c>
      <c r="AD6" s="143">
        <v>43931</v>
      </c>
      <c r="AE6" s="152">
        <v>43932</v>
      </c>
      <c r="AF6" s="154">
        <v>43933</v>
      </c>
      <c r="AG6" s="156">
        <v>43934</v>
      </c>
      <c r="AH6" s="156">
        <v>43935</v>
      </c>
      <c r="AI6" s="156">
        <v>43936</v>
      </c>
      <c r="AJ6" s="156">
        <v>43937</v>
      </c>
      <c r="AK6" s="156">
        <v>43938</v>
      </c>
      <c r="AL6" s="154">
        <v>43939</v>
      </c>
      <c r="AM6" s="152">
        <v>43940</v>
      </c>
      <c r="AN6" s="143">
        <v>43941</v>
      </c>
      <c r="AO6" s="143">
        <v>43942</v>
      </c>
      <c r="AP6" s="143">
        <v>43943</v>
      </c>
      <c r="AQ6" s="143">
        <v>43944</v>
      </c>
      <c r="AR6" s="143">
        <v>43945</v>
      </c>
      <c r="AS6" s="152">
        <v>43946</v>
      </c>
      <c r="AT6" s="154">
        <v>43947</v>
      </c>
      <c r="AU6" s="156">
        <v>43948</v>
      </c>
      <c r="AV6" s="156">
        <v>43949</v>
      </c>
      <c r="AW6" s="156">
        <v>43950</v>
      </c>
      <c r="AX6" s="138">
        <v>43951</v>
      </c>
      <c r="AY6" s="146">
        <v>43952</v>
      </c>
      <c r="AZ6" s="154">
        <v>43953</v>
      </c>
      <c r="BA6" s="152">
        <v>43954</v>
      </c>
      <c r="BB6" s="143">
        <v>43955</v>
      </c>
      <c r="BC6" s="143">
        <v>43956</v>
      </c>
      <c r="BD6" s="143">
        <v>43957</v>
      </c>
      <c r="BE6" s="143">
        <v>43958</v>
      </c>
      <c r="BF6" s="143">
        <v>43959</v>
      </c>
      <c r="BG6" s="152">
        <v>43960</v>
      </c>
      <c r="BH6" s="154">
        <v>43961</v>
      </c>
      <c r="BI6" s="156">
        <v>43962</v>
      </c>
      <c r="BJ6" s="156">
        <v>43963</v>
      </c>
      <c r="BK6" s="156">
        <v>43964</v>
      </c>
      <c r="BL6" s="156">
        <v>43965</v>
      </c>
      <c r="BM6" s="156">
        <v>43966</v>
      </c>
      <c r="BN6" s="154">
        <v>43967</v>
      </c>
      <c r="BO6" s="152">
        <v>43968</v>
      </c>
      <c r="BP6" s="143">
        <v>43969</v>
      </c>
      <c r="BQ6" s="143">
        <v>43970</v>
      </c>
      <c r="BR6" s="143">
        <v>43971</v>
      </c>
      <c r="BS6" s="143">
        <v>43972</v>
      </c>
      <c r="BT6" s="143">
        <v>43973</v>
      </c>
      <c r="BU6" s="152">
        <v>43974</v>
      </c>
      <c r="BV6" s="154">
        <v>43975</v>
      </c>
      <c r="BW6" s="156">
        <v>43976</v>
      </c>
      <c r="BX6" s="156">
        <v>43977</v>
      </c>
      <c r="BY6" s="156">
        <v>43978</v>
      </c>
      <c r="BZ6" s="156">
        <v>43979</v>
      </c>
      <c r="CA6" s="156">
        <v>43980</v>
      </c>
      <c r="CB6" s="154">
        <v>43981</v>
      </c>
      <c r="CC6" s="140">
        <v>43982</v>
      </c>
      <c r="CD6" s="149">
        <v>43983</v>
      </c>
      <c r="CE6" s="143">
        <v>43984</v>
      </c>
      <c r="CF6" s="143">
        <v>43985</v>
      </c>
      <c r="CG6" s="143">
        <v>43986</v>
      </c>
      <c r="CH6" s="143">
        <v>43987</v>
      </c>
      <c r="CI6" s="152">
        <v>43988</v>
      </c>
      <c r="CJ6" s="154">
        <v>43989</v>
      </c>
      <c r="CK6" s="156">
        <v>43990</v>
      </c>
      <c r="CL6" s="156">
        <v>43991</v>
      </c>
      <c r="CM6" s="156">
        <v>43992</v>
      </c>
      <c r="CN6" s="156">
        <v>43993</v>
      </c>
      <c r="CO6" s="156">
        <v>43994</v>
      </c>
      <c r="CP6" s="154">
        <v>43995</v>
      </c>
      <c r="CQ6" s="152">
        <v>43996</v>
      </c>
      <c r="CR6" s="143">
        <v>43997</v>
      </c>
      <c r="CS6" s="143">
        <v>43998</v>
      </c>
      <c r="CT6" s="143">
        <v>43999</v>
      </c>
      <c r="CU6" s="143">
        <v>44000</v>
      </c>
      <c r="CV6" s="143">
        <v>44001</v>
      </c>
      <c r="CW6" s="152">
        <v>44002</v>
      </c>
      <c r="CX6" s="154">
        <v>44003</v>
      </c>
      <c r="CY6" s="156">
        <v>44004</v>
      </c>
      <c r="CZ6" s="156">
        <v>44005</v>
      </c>
      <c r="DA6" s="156">
        <v>44006</v>
      </c>
      <c r="DB6" s="156">
        <v>44007</v>
      </c>
      <c r="DC6" s="156">
        <v>44008</v>
      </c>
      <c r="DD6" s="154">
        <v>44009</v>
      </c>
      <c r="DE6" s="152">
        <v>44010</v>
      </c>
      <c r="DF6" s="143">
        <v>44011</v>
      </c>
      <c r="DG6" s="139">
        <v>44012</v>
      </c>
      <c r="DH6" s="149">
        <v>44013</v>
      </c>
      <c r="DI6" s="143">
        <v>44014</v>
      </c>
      <c r="DJ6" s="143">
        <v>44015</v>
      </c>
      <c r="DK6" s="152">
        <v>44016</v>
      </c>
      <c r="DL6" s="154">
        <v>44017</v>
      </c>
      <c r="DM6" s="156">
        <v>44018</v>
      </c>
      <c r="DN6" s="156">
        <v>44019</v>
      </c>
      <c r="DO6" s="156">
        <v>44020</v>
      </c>
      <c r="DP6" s="156">
        <v>44021</v>
      </c>
      <c r="DQ6" s="156">
        <v>44022</v>
      </c>
      <c r="DR6" s="154">
        <v>44023</v>
      </c>
      <c r="DS6" s="152">
        <v>44024</v>
      </c>
      <c r="DT6" s="143">
        <v>44025</v>
      </c>
      <c r="DU6" s="143">
        <v>44026</v>
      </c>
      <c r="DV6" s="143">
        <v>44027</v>
      </c>
      <c r="DW6" s="143">
        <v>44028</v>
      </c>
      <c r="DX6" s="143">
        <v>44029</v>
      </c>
      <c r="DY6" s="152">
        <v>44030</v>
      </c>
      <c r="DZ6" s="154">
        <v>44031</v>
      </c>
      <c r="EA6" s="156">
        <v>44032</v>
      </c>
      <c r="EB6" s="156">
        <v>44033</v>
      </c>
      <c r="EC6" s="156">
        <v>44034</v>
      </c>
      <c r="ED6" s="156">
        <v>44035</v>
      </c>
      <c r="EE6" s="156">
        <v>44036</v>
      </c>
      <c r="EF6" s="154">
        <v>44037</v>
      </c>
      <c r="EG6" s="152">
        <v>44038</v>
      </c>
      <c r="EH6" s="143">
        <v>44039</v>
      </c>
      <c r="EI6" s="143">
        <v>44040</v>
      </c>
      <c r="EJ6" s="143">
        <v>44041</v>
      </c>
      <c r="EK6" s="143">
        <v>44042</v>
      </c>
      <c r="EL6" s="139">
        <v>44043</v>
      </c>
      <c r="EM6" s="151">
        <v>44044</v>
      </c>
      <c r="EN6" s="154">
        <v>44045</v>
      </c>
      <c r="EO6" s="156">
        <v>44046</v>
      </c>
      <c r="EP6" s="156">
        <v>44047</v>
      </c>
      <c r="EQ6" s="156">
        <v>44048</v>
      </c>
      <c r="ER6" s="156">
        <v>44049</v>
      </c>
      <c r="ES6" s="156">
        <v>44050</v>
      </c>
      <c r="ET6" s="154">
        <v>44051</v>
      </c>
      <c r="EU6" s="152">
        <v>44052</v>
      </c>
      <c r="EV6" s="143">
        <v>44053</v>
      </c>
      <c r="EW6" s="143">
        <v>44054</v>
      </c>
      <c r="EX6" s="143">
        <v>44055</v>
      </c>
      <c r="EY6" s="143">
        <v>44056</v>
      </c>
      <c r="EZ6" s="143">
        <v>44057</v>
      </c>
      <c r="FA6" s="152">
        <v>44058</v>
      </c>
      <c r="FB6" s="154">
        <v>44059</v>
      </c>
      <c r="FC6" s="156">
        <v>44060</v>
      </c>
      <c r="FD6" s="156">
        <v>44061</v>
      </c>
      <c r="FE6" s="156">
        <v>44062</v>
      </c>
      <c r="FF6" s="156">
        <v>44063</v>
      </c>
      <c r="FG6" s="156">
        <v>44064</v>
      </c>
      <c r="FH6" s="154">
        <v>44065</v>
      </c>
      <c r="FI6" s="152">
        <v>44066</v>
      </c>
      <c r="FJ6" s="143">
        <v>44067</v>
      </c>
      <c r="FK6" s="143">
        <v>44068</v>
      </c>
      <c r="FL6" s="143">
        <v>44069</v>
      </c>
      <c r="FM6" s="143">
        <v>44070</v>
      </c>
      <c r="FN6" s="143">
        <v>44071</v>
      </c>
      <c r="FO6" s="152">
        <v>44072</v>
      </c>
      <c r="FP6" s="154">
        <v>44073</v>
      </c>
      <c r="FQ6" s="138">
        <v>44074</v>
      </c>
      <c r="FR6" s="146">
        <v>44075</v>
      </c>
      <c r="FS6" s="156">
        <v>44076</v>
      </c>
      <c r="FT6" s="156">
        <v>44077</v>
      </c>
      <c r="FU6" s="156">
        <v>44078</v>
      </c>
      <c r="FV6" s="154">
        <v>44079</v>
      </c>
      <c r="FW6" s="152">
        <v>44080</v>
      </c>
      <c r="FX6" s="143">
        <v>44081</v>
      </c>
      <c r="FY6" s="143">
        <v>44082</v>
      </c>
      <c r="FZ6" s="143">
        <v>44083</v>
      </c>
      <c r="GA6" s="143">
        <v>44084</v>
      </c>
      <c r="GB6" s="143">
        <v>44085</v>
      </c>
      <c r="GC6" s="152">
        <v>44086</v>
      </c>
      <c r="GD6" s="154">
        <v>44087</v>
      </c>
      <c r="GE6" s="156">
        <v>44088</v>
      </c>
      <c r="GF6" s="156">
        <v>44089</v>
      </c>
      <c r="GG6" s="156">
        <v>44090</v>
      </c>
      <c r="GH6" s="156">
        <v>44091</v>
      </c>
      <c r="GI6" s="156">
        <v>44092</v>
      </c>
      <c r="GJ6" s="154">
        <v>44093</v>
      </c>
      <c r="GK6" s="152">
        <v>44094</v>
      </c>
      <c r="GL6" s="143">
        <v>44095</v>
      </c>
      <c r="GM6" s="143">
        <v>44096</v>
      </c>
      <c r="GN6" s="143">
        <v>44097</v>
      </c>
      <c r="GO6" s="143">
        <v>44098</v>
      </c>
      <c r="GP6" s="143">
        <v>44099</v>
      </c>
      <c r="GQ6" s="152">
        <v>44100</v>
      </c>
      <c r="GR6" s="154">
        <v>44101</v>
      </c>
      <c r="GS6" s="156">
        <v>44102</v>
      </c>
      <c r="GT6" s="156">
        <v>44103</v>
      </c>
      <c r="GU6" s="138">
        <v>44104</v>
      </c>
      <c r="GV6" s="146">
        <v>44105</v>
      </c>
      <c r="GW6" s="156">
        <v>44106</v>
      </c>
      <c r="GX6" s="154">
        <v>44107</v>
      </c>
      <c r="GY6" s="152">
        <v>44108</v>
      </c>
      <c r="GZ6" s="143">
        <v>44109</v>
      </c>
      <c r="HA6" s="143">
        <v>44110</v>
      </c>
      <c r="HB6" s="143">
        <v>44111</v>
      </c>
      <c r="HC6" s="143">
        <v>44112</v>
      </c>
      <c r="HD6" s="143">
        <v>44113</v>
      </c>
      <c r="HE6" s="152">
        <v>44114</v>
      </c>
      <c r="HF6" s="154">
        <v>44115</v>
      </c>
      <c r="HG6" s="156">
        <v>44116</v>
      </c>
      <c r="HH6" s="156">
        <v>44117</v>
      </c>
      <c r="HI6" s="156">
        <v>44118</v>
      </c>
      <c r="HJ6" s="156">
        <v>44119</v>
      </c>
      <c r="HK6" s="156">
        <v>44120</v>
      </c>
      <c r="HL6" s="154">
        <v>44121</v>
      </c>
      <c r="HM6" s="152">
        <v>44122</v>
      </c>
      <c r="HN6" s="143">
        <v>44123</v>
      </c>
      <c r="HO6" s="143">
        <v>44124</v>
      </c>
      <c r="HP6" s="143">
        <v>44125</v>
      </c>
      <c r="HQ6" s="143">
        <v>44126</v>
      </c>
      <c r="HR6" s="143">
        <v>44127</v>
      </c>
      <c r="HS6" s="152">
        <v>44128</v>
      </c>
      <c r="HT6" s="154">
        <v>44129</v>
      </c>
      <c r="HU6" s="156">
        <v>44130</v>
      </c>
      <c r="HV6" s="156">
        <v>44131</v>
      </c>
      <c r="HW6" s="156">
        <v>44132</v>
      </c>
      <c r="HX6" s="156">
        <v>44133</v>
      </c>
      <c r="HY6" s="156">
        <v>44134</v>
      </c>
      <c r="HZ6" s="141">
        <v>44135</v>
      </c>
      <c r="IA6" s="151">
        <v>44136</v>
      </c>
      <c r="IB6" s="143">
        <v>44137</v>
      </c>
      <c r="IC6" s="143">
        <v>44138</v>
      </c>
      <c r="ID6" s="143">
        <v>44139</v>
      </c>
      <c r="IE6" s="143">
        <v>44140</v>
      </c>
      <c r="IF6" s="143">
        <v>44141</v>
      </c>
      <c r="IG6" s="152">
        <v>44142</v>
      </c>
      <c r="IH6" s="154">
        <v>44143</v>
      </c>
      <c r="II6" s="156">
        <v>44144</v>
      </c>
      <c r="IJ6" s="156">
        <v>44145</v>
      </c>
      <c r="IK6" s="156">
        <v>44146</v>
      </c>
      <c r="IL6" s="156">
        <v>44147</v>
      </c>
      <c r="IM6" s="156">
        <v>44148</v>
      </c>
      <c r="IN6" s="154">
        <v>44149</v>
      </c>
      <c r="IO6" s="152">
        <v>44150</v>
      </c>
      <c r="IP6" s="143">
        <v>44151</v>
      </c>
      <c r="IQ6" s="143">
        <v>44152</v>
      </c>
      <c r="IR6" s="143">
        <v>44153</v>
      </c>
      <c r="IS6" s="143">
        <v>44154</v>
      </c>
      <c r="IT6" s="143">
        <v>44155</v>
      </c>
      <c r="IU6" s="152">
        <v>44156</v>
      </c>
      <c r="IV6" s="154">
        <v>44157</v>
      </c>
      <c r="IW6" s="156">
        <v>44158</v>
      </c>
      <c r="IX6" s="156">
        <v>44159</v>
      </c>
      <c r="IY6" s="156">
        <v>44160</v>
      </c>
      <c r="IZ6" s="156">
        <v>44161</v>
      </c>
      <c r="JA6" s="156">
        <v>44162</v>
      </c>
      <c r="JB6" s="154">
        <v>44163</v>
      </c>
      <c r="JC6" s="152">
        <v>44164</v>
      </c>
      <c r="JD6" s="139">
        <v>44165</v>
      </c>
      <c r="JE6" s="149">
        <v>44166</v>
      </c>
      <c r="JF6" s="143">
        <v>44167</v>
      </c>
      <c r="JG6" s="143">
        <v>44168</v>
      </c>
      <c r="JH6" s="143">
        <v>44169</v>
      </c>
      <c r="JI6" s="152">
        <v>44170</v>
      </c>
      <c r="JJ6" s="154">
        <v>44171</v>
      </c>
      <c r="JK6" s="156">
        <v>44172</v>
      </c>
      <c r="JL6" s="156">
        <v>44173</v>
      </c>
      <c r="JM6" s="156">
        <v>44174</v>
      </c>
      <c r="JN6" s="156">
        <v>44175</v>
      </c>
      <c r="JO6" s="156">
        <v>44176</v>
      </c>
      <c r="JP6" s="154">
        <v>44177</v>
      </c>
      <c r="JQ6" s="152">
        <v>44178</v>
      </c>
      <c r="JR6" s="143">
        <v>44179</v>
      </c>
      <c r="JS6" s="143">
        <v>44180</v>
      </c>
      <c r="JT6" s="143">
        <v>44181</v>
      </c>
      <c r="JU6" s="143">
        <v>44182</v>
      </c>
      <c r="JV6" s="143">
        <v>44183</v>
      </c>
      <c r="JW6" s="152">
        <v>44184</v>
      </c>
      <c r="JX6" s="154">
        <v>44185</v>
      </c>
      <c r="JY6" s="156">
        <v>44186</v>
      </c>
      <c r="JZ6" s="156">
        <v>44187</v>
      </c>
      <c r="KA6" s="156">
        <v>44188</v>
      </c>
      <c r="KB6" s="156">
        <v>44189</v>
      </c>
      <c r="KC6" s="156">
        <v>44190</v>
      </c>
      <c r="KD6" s="154">
        <v>44191</v>
      </c>
      <c r="KE6" s="152">
        <v>44192</v>
      </c>
      <c r="KF6" s="143">
        <v>44193</v>
      </c>
      <c r="KG6" s="143">
        <v>44194</v>
      </c>
      <c r="KH6" s="143">
        <v>44195</v>
      </c>
      <c r="KI6" s="139">
        <v>44196</v>
      </c>
      <c r="KJ6" s="149">
        <v>44197</v>
      </c>
      <c r="KK6" s="152">
        <v>44198</v>
      </c>
      <c r="KL6" s="154">
        <v>44199</v>
      </c>
      <c r="KM6" s="156">
        <v>44200</v>
      </c>
      <c r="KN6" s="156">
        <v>44201</v>
      </c>
      <c r="KO6" s="156">
        <v>44202</v>
      </c>
      <c r="KP6" s="156">
        <v>44203</v>
      </c>
      <c r="KQ6" s="156">
        <v>44204</v>
      </c>
      <c r="KR6" s="154">
        <v>44205</v>
      </c>
      <c r="KS6" s="152">
        <v>44206</v>
      </c>
      <c r="KT6" s="143">
        <v>44207</v>
      </c>
      <c r="KU6" s="143">
        <v>44208</v>
      </c>
      <c r="KV6" s="143">
        <v>44209</v>
      </c>
      <c r="KW6" s="143">
        <v>44210</v>
      </c>
      <c r="KX6" s="143">
        <v>44211</v>
      </c>
      <c r="KY6" s="152">
        <v>44212</v>
      </c>
      <c r="KZ6" s="154">
        <v>44213</v>
      </c>
      <c r="LA6" s="156">
        <v>44214</v>
      </c>
      <c r="LB6" s="156">
        <v>44215</v>
      </c>
      <c r="LC6" s="156">
        <v>44216</v>
      </c>
      <c r="LD6" s="156">
        <v>44217</v>
      </c>
      <c r="LE6" s="156">
        <v>44218</v>
      </c>
      <c r="LF6" s="154">
        <v>44219</v>
      </c>
      <c r="LG6" s="152">
        <v>44220</v>
      </c>
      <c r="LH6" s="143">
        <v>44221</v>
      </c>
      <c r="LI6" s="143">
        <v>44222</v>
      </c>
      <c r="LJ6" s="143">
        <v>44223</v>
      </c>
      <c r="LK6" s="143">
        <v>44224</v>
      </c>
      <c r="LL6" s="143">
        <v>44225</v>
      </c>
      <c r="LM6" s="140">
        <v>44226</v>
      </c>
    </row>
    <row r="7" spans="1:325" ht="43.15" customHeight="1">
      <c r="A7" s="121" t="s">
        <v>16</v>
      </c>
      <c r="B7" s="264" t="s">
        <v>2</v>
      </c>
      <c r="C7" s="198" t="s">
        <v>47</v>
      </c>
      <c r="D7" s="199" t="s">
        <v>59</v>
      </c>
      <c r="E7" s="199" t="s">
        <v>60</v>
      </c>
      <c r="F7" s="199" t="s">
        <v>61</v>
      </c>
      <c r="G7" s="199" t="s">
        <v>62</v>
      </c>
      <c r="H7" s="199" t="s">
        <v>48</v>
      </c>
      <c r="I7" s="199" t="s">
        <v>49</v>
      </c>
      <c r="J7" s="199" t="s">
        <v>50</v>
      </c>
      <c r="K7" s="199" t="s">
        <v>51</v>
      </c>
      <c r="L7" s="199" t="s">
        <v>7</v>
      </c>
      <c r="M7" s="199" t="s">
        <v>54</v>
      </c>
      <c r="N7" s="199" t="s">
        <v>55</v>
      </c>
      <c r="O7" s="199" t="s">
        <v>7</v>
      </c>
      <c r="P7" s="199" t="s">
        <v>54</v>
      </c>
      <c r="Q7" s="199" t="s">
        <v>55</v>
      </c>
      <c r="R7" s="199" t="s">
        <v>131</v>
      </c>
      <c r="S7" s="41"/>
      <c r="U7" s="155">
        <v>43922</v>
      </c>
      <c r="V7" s="155">
        <v>43923</v>
      </c>
      <c r="W7" s="155">
        <v>43924</v>
      </c>
      <c r="X7" s="155">
        <v>43925</v>
      </c>
      <c r="Y7" s="144">
        <v>43926</v>
      </c>
      <c r="Z7" s="144">
        <v>43927</v>
      </c>
      <c r="AA7" s="144">
        <v>43928</v>
      </c>
      <c r="AB7" s="144">
        <v>43929</v>
      </c>
      <c r="AC7" s="144">
        <v>43930</v>
      </c>
      <c r="AD7" s="144">
        <v>43931</v>
      </c>
      <c r="AE7" s="144">
        <v>43932</v>
      </c>
      <c r="AF7" s="155">
        <v>43933</v>
      </c>
      <c r="AG7" s="155">
        <v>43934</v>
      </c>
      <c r="AH7" s="155">
        <v>43935</v>
      </c>
      <c r="AI7" s="155">
        <v>43936</v>
      </c>
      <c r="AJ7" s="155">
        <v>43937</v>
      </c>
      <c r="AK7" s="155">
        <v>43938</v>
      </c>
      <c r="AL7" s="155">
        <v>43939</v>
      </c>
      <c r="AM7" s="144">
        <v>43940</v>
      </c>
      <c r="AN7" s="144">
        <v>43941</v>
      </c>
      <c r="AO7" s="144">
        <v>43942</v>
      </c>
      <c r="AP7" s="144">
        <v>43943</v>
      </c>
      <c r="AQ7" s="144">
        <v>43944</v>
      </c>
      <c r="AR7" s="144">
        <v>43945</v>
      </c>
      <c r="AS7" s="144">
        <v>43946</v>
      </c>
      <c r="AT7" s="155">
        <v>43947</v>
      </c>
      <c r="AU7" s="155">
        <v>43948</v>
      </c>
      <c r="AV7" s="155">
        <v>43949</v>
      </c>
      <c r="AW7" s="155">
        <v>43950</v>
      </c>
      <c r="AX7" s="137">
        <v>43951</v>
      </c>
      <c r="AY7" s="147">
        <v>43952</v>
      </c>
      <c r="AZ7" s="155">
        <v>43953</v>
      </c>
      <c r="BA7" s="144">
        <v>43954</v>
      </c>
      <c r="BB7" s="144">
        <v>43955</v>
      </c>
      <c r="BC7" s="144">
        <v>43956</v>
      </c>
      <c r="BD7" s="144">
        <v>43957</v>
      </c>
      <c r="BE7" s="144">
        <v>43958</v>
      </c>
      <c r="BF7" s="144">
        <v>43959</v>
      </c>
      <c r="BG7" s="144">
        <v>43960</v>
      </c>
      <c r="BH7" s="155">
        <v>43961</v>
      </c>
      <c r="BI7" s="155">
        <v>43962</v>
      </c>
      <c r="BJ7" s="155">
        <v>43963</v>
      </c>
      <c r="BK7" s="155">
        <v>43964</v>
      </c>
      <c r="BL7" s="155">
        <v>43965</v>
      </c>
      <c r="BM7" s="155">
        <v>43966</v>
      </c>
      <c r="BN7" s="155">
        <v>43967</v>
      </c>
      <c r="BO7" s="144">
        <v>43968</v>
      </c>
      <c r="BP7" s="144">
        <v>43969</v>
      </c>
      <c r="BQ7" s="144">
        <v>43970</v>
      </c>
      <c r="BR7" s="144">
        <v>43971</v>
      </c>
      <c r="BS7" s="144">
        <v>43972</v>
      </c>
      <c r="BT7" s="144">
        <v>43973</v>
      </c>
      <c r="BU7" s="144">
        <v>43974</v>
      </c>
      <c r="BV7" s="155">
        <v>43975</v>
      </c>
      <c r="BW7" s="155">
        <v>43976</v>
      </c>
      <c r="BX7" s="155">
        <v>43977</v>
      </c>
      <c r="BY7" s="155">
        <v>43978</v>
      </c>
      <c r="BZ7" s="155">
        <v>43979</v>
      </c>
      <c r="CA7" s="155">
        <v>43980</v>
      </c>
      <c r="CB7" s="155">
        <v>43981</v>
      </c>
      <c r="CC7" s="135">
        <v>43982</v>
      </c>
      <c r="CD7" s="150">
        <v>43983</v>
      </c>
      <c r="CE7" s="144">
        <v>43984</v>
      </c>
      <c r="CF7" s="144">
        <v>43985</v>
      </c>
      <c r="CG7" s="144">
        <v>43986</v>
      </c>
      <c r="CH7" s="144">
        <v>43987</v>
      </c>
      <c r="CI7" s="144">
        <v>43988</v>
      </c>
      <c r="CJ7" s="155">
        <v>43989</v>
      </c>
      <c r="CK7" s="155">
        <v>43990</v>
      </c>
      <c r="CL7" s="155">
        <v>43991</v>
      </c>
      <c r="CM7" s="155">
        <v>43992</v>
      </c>
      <c r="CN7" s="155">
        <v>43993</v>
      </c>
      <c r="CO7" s="155">
        <v>43994</v>
      </c>
      <c r="CP7" s="155">
        <v>43995</v>
      </c>
      <c r="CQ7" s="144">
        <v>43996</v>
      </c>
      <c r="CR7" s="144">
        <v>43997</v>
      </c>
      <c r="CS7" s="144">
        <v>43998</v>
      </c>
      <c r="CT7" s="144">
        <v>43999</v>
      </c>
      <c r="CU7" s="144">
        <v>44000</v>
      </c>
      <c r="CV7" s="144">
        <v>44001</v>
      </c>
      <c r="CW7" s="144">
        <v>44002</v>
      </c>
      <c r="CX7" s="155">
        <v>44003</v>
      </c>
      <c r="CY7" s="155">
        <v>44004</v>
      </c>
      <c r="CZ7" s="155">
        <v>44005</v>
      </c>
      <c r="DA7" s="155">
        <v>44006</v>
      </c>
      <c r="DB7" s="155">
        <v>44007</v>
      </c>
      <c r="DC7" s="155">
        <v>44008</v>
      </c>
      <c r="DD7" s="155">
        <v>44009</v>
      </c>
      <c r="DE7" s="144">
        <v>44010</v>
      </c>
      <c r="DF7" s="144">
        <v>44011</v>
      </c>
      <c r="DG7" s="135">
        <v>44012</v>
      </c>
      <c r="DH7" s="150">
        <v>44013</v>
      </c>
      <c r="DI7" s="144">
        <v>44014</v>
      </c>
      <c r="DJ7" s="144">
        <v>44015</v>
      </c>
      <c r="DK7" s="144">
        <v>44016</v>
      </c>
      <c r="DL7" s="155">
        <v>44017</v>
      </c>
      <c r="DM7" s="155">
        <v>44018</v>
      </c>
      <c r="DN7" s="155">
        <v>44019</v>
      </c>
      <c r="DO7" s="155">
        <v>44020</v>
      </c>
      <c r="DP7" s="155">
        <v>44021</v>
      </c>
      <c r="DQ7" s="155">
        <v>44022</v>
      </c>
      <c r="DR7" s="155">
        <v>44023</v>
      </c>
      <c r="DS7" s="144">
        <v>44024</v>
      </c>
      <c r="DT7" s="144">
        <v>44025</v>
      </c>
      <c r="DU7" s="144">
        <v>44026</v>
      </c>
      <c r="DV7" s="144">
        <v>44027</v>
      </c>
      <c r="DW7" s="144">
        <v>44028</v>
      </c>
      <c r="DX7" s="144">
        <v>44029</v>
      </c>
      <c r="DY7" s="144">
        <v>44030</v>
      </c>
      <c r="DZ7" s="155">
        <v>44031</v>
      </c>
      <c r="EA7" s="155">
        <v>44032</v>
      </c>
      <c r="EB7" s="155">
        <v>44033</v>
      </c>
      <c r="EC7" s="155">
        <v>44034</v>
      </c>
      <c r="ED7" s="155">
        <v>44035</v>
      </c>
      <c r="EE7" s="155">
        <v>44036</v>
      </c>
      <c r="EF7" s="155">
        <v>44037</v>
      </c>
      <c r="EG7" s="144">
        <v>44038</v>
      </c>
      <c r="EH7" s="144">
        <v>44039</v>
      </c>
      <c r="EI7" s="144">
        <v>44040</v>
      </c>
      <c r="EJ7" s="144">
        <v>44041</v>
      </c>
      <c r="EK7" s="144">
        <v>44042</v>
      </c>
      <c r="EL7" s="135">
        <v>44043</v>
      </c>
      <c r="EM7" s="150">
        <v>44044</v>
      </c>
      <c r="EN7" s="155">
        <v>44045</v>
      </c>
      <c r="EO7" s="155">
        <v>44046</v>
      </c>
      <c r="EP7" s="155">
        <v>44047</v>
      </c>
      <c r="EQ7" s="155">
        <v>44048</v>
      </c>
      <c r="ER7" s="155">
        <v>44049</v>
      </c>
      <c r="ES7" s="155">
        <v>44050</v>
      </c>
      <c r="ET7" s="155">
        <v>44051</v>
      </c>
      <c r="EU7" s="144">
        <v>44052</v>
      </c>
      <c r="EV7" s="144">
        <v>44053</v>
      </c>
      <c r="EW7" s="144">
        <v>44054</v>
      </c>
      <c r="EX7" s="144">
        <v>44055</v>
      </c>
      <c r="EY7" s="144">
        <v>44056</v>
      </c>
      <c r="EZ7" s="144">
        <v>44057</v>
      </c>
      <c r="FA7" s="144">
        <v>44058</v>
      </c>
      <c r="FB7" s="155">
        <v>44059</v>
      </c>
      <c r="FC7" s="155">
        <v>44060</v>
      </c>
      <c r="FD7" s="155">
        <v>44061</v>
      </c>
      <c r="FE7" s="155">
        <v>44062</v>
      </c>
      <c r="FF7" s="155">
        <v>44063</v>
      </c>
      <c r="FG7" s="155">
        <v>44064</v>
      </c>
      <c r="FH7" s="155">
        <v>44065</v>
      </c>
      <c r="FI7" s="144">
        <v>44066</v>
      </c>
      <c r="FJ7" s="144">
        <v>44067</v>
      </c>
      <c r="FK7" s="144">
        <v>44068</v>
      </c>
      <c r="FL7" s="144">
        <v>44069</v>
      </c>
      <c r="FM7" s="144">
        <v>44070</v>
      </c>
      <c r="FN7" s="144">
        <v>44071</v>
      </c>
      <c r="FO7" s="144">
        <v>44072</v>
      </c>
      <c r="FP7" s="155">
        <v>44073</v>
      </c>
      <c r="FQ7" s="137">
        <v>44074</v>
      </c>
      <c r="FR7" s="147">
        <v>44075</v>
      </c>
      <c r="FS7" s="155">
        <v>44076</v>
      </c>
      <c r="FT7" s="155">
        <v>44077</v>
      </c>
      <c r="FU7" s="155">
        <v>44078</v>
      </c>
      <c r="FV7" s="155">
        <v>44079</v>
      </c>
      <c r="FW7" s="144">
        <v>44080</v>
      </c>
      <c r="FX7" s="144">
        <v>44081</v>
      </c>
      <c r="FY7" s="144">
        <v>44082</v>
      </c>
      <c r="FZ7" s="144">
        <v>44083</v>
      </c>
      <c r="GA7" s="144">
        <v>44084</v>
      </c>
      <c r="GB7" s="144">
        <v>44085</v>
      </c>
      <c r="GC7" s="144">
        <v>44086</v>
      </c>
      <c r="GD7" s="155">
        <v>44087</v>
      </c>
      <c r="GE7" s="155">
        <v>44088</v>
      </c>
      <c r="GF7" s="155">
        <v>44089</v>
      </c>
      <c r="GG7" s="155">
        <v>44090</v>
      </c>
      <c r="GH7" s="155">
        <v>44091</v>
      </c>
      <c r="GI7" s="155">
        <v>44092</v>
      </c>
      <c r="GJ7" s="155">
        <v>44093</v>
      </c>
      <c r="GK7" s="144">
        <v>44094</v>
      </c>
      <c r="GL7" s="144">
        <v>44095</v>
      </c>
      <c r="GM7" s="144">
        <v>44096</v>
      </c>
      <c r="GN7" s="144">
        <v>44097</v>
      </c>
      <c r="GO7" s="144">
        <v>44098</v>
      </c>
      <c r="GP7" s="144">
        <v>44099</v>
      </c>
      <c r="GQ7" s="144">
        <v>44100</v>
      </c>
      <c r="GR7" s="155">
        <v>44101</v>
      </c>
      <c r="GS7" s="155">
        <v>44102</v>
      </c>
      <c r="GT7" s="155">
        <v>44103</v>
      </c>
      <c r="GU7" s="137">
        <v>44104</v>
      </c>
      <c r="GV7" s="147">
        <v>44105</v>
      </c>
      <c r="GW7" s="155">
        <v>44106</v>
      </c>
      <c r="GX7" s="155">
        <v>44107</v>
      </c>
      <c r="GY7" s="144">
        <v>44108</v>
      </c>
      <c r="GZ7" s="144">
        <v>44109</v>
      </c>
      <c r="HA7" s="144">
        <v>44110</v>
      </c>
      <c r="HB7" s="144">
        <v>44111</v>
      </c>
      <c r="HC7" s="144">
        <v>44112</v>
      </c>
      <c r="HD7" s="144">
        <v>44113</v>
      </c>
      <c r="HE7" s="144">
        <v>44114</v>
      </c>
      <c r="HF7" s="155">
        <v>44115</v>
      </c>
      <c r="HG7" s="155">
        <v>44116</v>
      </c>
      <c r="HH7" s="155">
        <v>44117</v>
      </c>
      <c r="HI7" s="155">
        <v>44118</v>
      </c>
      <c r="HJ7" s="155">
        <v>44119</v>
      </c>
      <c r="HK7" s="155">
        <v>44120</v>
      </c>
      <c r="HL7" s="155">
        <v>44121</v>
      </c>
      <c r="HM7" s="144">
        <v>44122</v>
      </c>
      <c r="HN7" s="144">
        <v>44123</v>
      </c>
      <c r="HO7" s="144">
        <v>44124</v>
      </c>
      <c r="HP7" s="144">
        <v>44125</v>
      </c>
      <c r="HQ7" s="144">
        <v>44126</v>
      </c>
      <c r="HR7" s="144">
        <v>44127</v>
      </c>
      <c r="HS7" s="144">
        <v>44128</v>
      </c>
      <c r="HT7" s="155">
        <v>44129</v>
      </c>
      <c r="HU7" s="155">
        <v>44130</v>
      </c>
      <c r="HV7" s="155">
        <v>44131</v>
      </c>
      <c r="HW7" s="155">
        <v>44132</v>
      </c>
      <c r="HX7" s="155">
        <v>44133</v>
      </c>
      <c r="HY7" s="155">
        <v>44134</v>
      </c>
      <c r="HZ7" s="137">
        <v>44135</v>
      </c>
      <c r="IA7" s="150">
        <v>44136</v>
      </c>
      <c r="IB7" s="144">
        <v>44137</v>
      </c>
      <c r="IC7" s="144">
        <v>44138</v>
      </c>
      <c r="ID7" s="144">
        <v>44139</v>
      </c>
      <c r="IE7" s="144">
        <v>44140</v>
      </c>
      <c r="IF7" s="144">
        <v>44141</v>
      </c>
      <c r="IG7" s="144">
        <v>44142</v>
      </c>
      <c r="IH7" s="155">
        <v>44143</v>
      </c>
      <c r="II7" s="155">
        <v>44144</v>
      </c>
      <c r="IJ7" s="155">
        <v>44145</v>
      </c>
      <c r="IK7" s="155">
        <v>44146</v>
      </c>
      <c r="IL7" s="155">
        <v>44147</v>
      </c>
      <c r="IM7" s="155">
        <v>44148</v>
      </c>
      <c r="IN7" s="155">
        <v>44149</v>
      </c>
      <c r="IO7" s="144">
        <v>44150</v>
      </c>
      <c r="IP7" s="144">
        <v>44151</v>
      </c>
      <c r="IQ7" s="144">
        <v>44152</v>
      </c>
      <c r="IR7" s="144">
        <v>44153</v>
      </c>
      <c r="IS7" s="144">
        <v>44154</v>
      </c>
      <c r="IT7" s="144">
        <v>44155</v>
      </c>
      <c r="IU7" s="144">
        <v>44156</v>
      </c>
      <c r="IV7" s="155">
        <v>44157</v>
      </c>
      <c r="IW7" s="155">
        <v>44158</v>
      </c>
      <c r="IX7" s="155">
        <v>44159</v>
      </c>
      <c r="IY7" s="155">
        <v>44160</v>
      </c>
      <c r="IZ7" s="155">
        <v>44161</v>
      </c>
      <c r="JA7" s="155">
        <v>44162</v>
      </c>
      <c r="JB7" s="155">
        <v>44163</v>
      </c>
      <c r="JC7" s="144">
        <v>44164</v>
      </c>
      <c r="JD7" s="135">
        <v>44165</v>
      </c>
      <c r="JE7" s="150">
        <v>44166</v>
      </c>
      <c r="JF7" s="144">
        <v>44167</v>
      </c>
      <c r="JG7" s="144">
        <v>44168</v>
      </c>
      <c r="JH7" s="144">
        <v>44169</v>
      </c>
      <c r="JI7" s="144">
        <v>44170</v>
      </c>
      <c r="JJ7" s="155">
        <v>44171</v>
      </c>
      <c r="JK7" s="155">
        <v>44172</v>
      </c>
      <c r="JL7" s="155">
        <v>44173</v>
      </c>
      <c r="JM7" s="155">
        <v>44174</v>
      </c>
      <c r="JN7" s="155">
        <v>44175</v>
      </c>
      <c r="JO7" s="155">
        <v>44176</v>
      </c>
      <c r="JP7" s="155">
        <v>44177</v>
      </c>
      <c r="JQ7" s="144">
        <v>44178</v>
      </c>
      <c r="JR7" s="144">
        <v>44179</v>
      </c>
      <c r="JS7" s="144">
        <v>44180</v>
      </c>
      <c r="JT7" s="144">
        <v>44181</v>
      </c>
      <c r="JU7" s="144">
        <v>44182</v>
      </c>
      <c r="JV7" s="144">
        <v>44183</v>
      </c>
      <c r="JW7" s="144">
        <v>44184</v>
      </c>
      <c r="JX7" s="155">
        <v>44185</v>
      </c>
      <c r="JY7" s="155">
        <v>44186</v>
      </c>
      <c r="JZ7" s="155">
        <v>44187</v>
      </c>
      <c r="KA7" s="155">
        <v>44188</v>
      </c>
      <c r="KB7" s="155">
        <v>44189</v>
      </c>
      <c r="KC7" s="155">
        <v>44190</v>
      </c>
      <c r="KD7" s="155">
        <v>44191</v>
      </c>
      <c r="KE7" s="144">
        <v>44192</v>
      </c>
      <c r="KF7" s="144">
        <v>44193</v>
      </c>
      <c r="KG7" s="144">
        <v>44194</v>
      </c>
      <c r="KH7" s="144">
        <v>44195</v>
      </c>
      <c r="KI7" s="135">
        <v>44196</v>
      </c>
      <c r="KJ7" s="150">
        <v>44197</v>
      </c>
      <c r="KK7" s="144">
        <v>44198</v>
      </c>
      <c r="KL7" s="155">
        <v>44199</v>
      </c>
      <c r="KM7" s="155">
        <v>44200</v>
      </c>
      <c r="KN7" s="155">
        <v>44201</v>
      </c>
      <c r="KO7" s="155">
        <v>44202</v>
      </c>
      <c r="KP7" s="155">
        <v>44203</v>
      </c>
      <c r="KQ7" s="155">
        <v>44204</v>
      </c>
      <c r="KR7" s="155">
        <v>44205</v>
      </c>
      <c r="KS7" s="144">
        <v>44206</v>
      </c>
      <c r="KT7" s="144">
        <v>44207</v>
      </c>
      <c r="KU7" s="144">
        <v>44208</v>
      </c>
      <c r="KV7" s="144">
        <v>44209</v>
      </c>
      <c r="KW7" s="144">
        <v>44210</v>
      </c>
      <c r="KX7" s="144">
        <v>44211</v>
      </c>
      <c r="KY7" s="144">
        <v>44212</v>
      </c>
      <c r="KZ7" s="155">
        <v>44213</v>
      </c>
      <c r="LA7" s="155">
        <v>44214</v>
      </c>
      <c r="LB7" s="155">
        <v>44215</v>
      </c>
      <c r="LC7" s="155">
        <v>44216</v>
      </c>
      <c r="LD7" s="155">
        <v>44217</v>
      </c>
      <c r="LE7" s="155">
        <v>44218</v>
      </c>
      <c r="LF7" s="155">
        <v>44219</v>
      </c>
      <c r="LG7" s="144">
        <v>44220</v>
      </c>
      <c r="LH7" s="144">
        <v>44221</v>
      </c>
      <c r="LI7" s="144">
        <v>44222</v>
      </c>
      <c r="LJ7" s="144">
        <v>44223</v>
      </c>
      <c r="LK7" s="144">
        <v>44224</v>
      </c>
      <c r="LL7" s="144">
        <v>44225</v>
      </c>
      <c r="LM7" s="135">
        <v>44226</v>
      </c>
    </row>
    <row r="8" spans="1:325" ht="16.5">
      <c r="A8" s="13"/>
      <c r="B8" s="174" t="s">
        <v>3</v>
      </c>
      <c r="C8" s="200" t="s">
        <v>327</v>
      </c>
      <c r="D8" s="201"/>
      <c r="E8" s="201"/>
      <c r="F8" s="201"/>
      <c r="G8" s="202"/>
      <c r="H8" s="203"/>
      <c r="I8" s="203"/>
      <c r="J8" s="203" t="s">
        <v>64</v>
      </c>
      <c r="K8" s="204">
        <f>IF(AND(NOT(ISNUMBER(Gantt!$Q8)),NOT(ISNUMBER(Gantt!$N8))),"",IF(NOT(ISNUMBER(Gantt!$Q8)),0,Gantt!$Q8/Gantt!$N8))</f>
        <v>8.1300813008130079E-2</v>
      </c>
      <c r="L8" s="205">
        <v>43941</v>
      </c>
      <c r="M8" s="205">
        <v>44063</v>
      </c>
      <c r="N8" s="206">
        <f t="shared" ref="N8:N36" si="0">$M8-$L8+1</f>
        <v>123</v>
      </c>
      <c r="O8" s="205">
        <v>43952</v>
      </c>
      <c r="P8" s="205">
        <v>43961</v>
      </c>
      <c r="Q8" s="206">
        <f t="shared" ref="Q8:Q36" si="1">IF(ISBLANK($O8),"",IF(ISBLANK($P8),$O$4-$O8+1,$P8-$O8+1))</f>
        <v>10</v>
      </c>
      <c r="R8" s="206" t="str">
        <f t="shared" ref="R8:R36" ca="1" si="2">IF(AND(ISBLANK($O8),$L8&gt;Today),"예정",IF(AND(ISBLANK($O8),$L8&lt;=Today),"지연",IF(NOT(ISBLANK($P8)),"완료",IF(AND(NOT(ISBLANK($O8)),$M8&gt;Today,ISBLANK($P8)),"진행",IF(AND(NOT(ISBLANK($O8)),$M8&lt;=Today,ISBLANK($P8)),"지연","Error")))))</f>
        <v>완료</v>
      </c>
      <c r="S8" s="175"/>
      <c r="T8" s="176"/>
      <c r="U8" s="178"/>
      <c r="V8" s="178"/>
      <c r="W8" s="178"/>
      <c r="X8" s="178"/>
      <c r="Y8" s="177"/>
      <c r="Z8" s="177"/>
      <c r="AA8" s="177"/>
      <c r="AB8" s="177"/>
      <c r="AC8" s="177"/>
      <c r="AD8" s="177"/>
      <c r="AE8" s="177"/>
      <c r="AF8" s="178"/>
      <c r="AG8" s="178"/>
      <c r="AH8" s="178"/>
      <c r="AI8" s="178"/>
      <c r="AJ8" s="178"/>
      <c r="AK8" s="178"/>
      <c r="AL8" s="178"/>
      <c r="AM8" s="177"/>
      <c r="AN8" s="177"/>
      <c r="AO8" s="177"/>
      <c r="AP8" s="177"/>
      <c r="AQ8" s="177"/>
      <c r="AR8" s="177"/>
      <c r="AS8" s="177"/>
      <c r="AT8" s="178"/>
      <c r="AU8" s="178"/>
      <c r="AV8" s="178"/>
      <c r="AW8" s="178"/>
      <c r="AX8" s="179"/>
      <c r="AY8" s="180"/>
      <c r="AZ8" s="178"/>
      <c r="BA8" s="177"/>
      <c r="BB8" s="177"/>
      <c r="BC8" s="177"/>
      <c r="BD8" s="177"/>
      <c r="BE8" s="177"/>
      <c r="BF8" s="177"/>
      <c r="BG8" s="177"/>
      <c r="BH8" s="178"/>
      <c r="BI8" s="178"/>
      <c r="BJ8" s="178"/>
      <c r="BK8" s="178"/>
      <c r="BL8" s="178"/>
      <c r="BM8" s="178"/>
      <c r="BN8" s="178"/>
      <c r="BO8" s="177"/>
      <c r="BP8" s="177"/>
      <c r="BQ8" s="177"/>
      <c r="BR8" s="177"/>
      <c r="BS8" s="177"/>
      <c r="BT8" s="177"/>
      <c r="BU8" s="177"/>
      <c r="BV8" s="178"/>
      <c r="BW8" s="178"/>
      <c r="BX8" s="178"/>
      <c r="BY8" s="178"/>
      <c r="BZ8" s="178"/>
      <c r="CA8" s="178"/>
      <c r="CB8" s="178"/>
      <c r="CC8" s="181"/>
      <c r="CD8" s="182"/>
      <c r="CE8" s="177"/>
      <c r="CF8" s="177"/>
      <c r="CG8" s="177"/>
      <c r="CH8" s="177"/>
      <c r="CI8" s="177"/>
      <c r="CJ8" s="178"/>
      <c r="CK8" s="178"/>
      <c r="CL8" s="178"/>
      <c r="CM8" s="178"/>
      <c r="CN8" s="178"/>
      <c r="CO8" s="178"/>
      <c r="CP8" s="178"/>
      <c r="CQ8" s="177"/>
      <c r="CR8" s="177"/>
      <c r="CS8" s="177"/>
      <c r="CT8" s="177"/>
      <c r="CU8" s="177"/>
      <c r="CV8" s="177"/>
      <c r="CW8" s="177"/>
      <c r="CX8" s="178"/>
      <c r="CY8" s="178"/>
      <c r="CZ8" s="178"/>
      <c r="DA8" s="178"/>
      <c r="DB8" s="178"/>
      <c r="DC8" s="178"/>
      <c r="DD8" s="178"/>
      <c r="DE8" s="177"/>
      <c r="DF8" s="177"/>
      <c r="DG8" s="181"/>
      <c r="DH8" s="182"/>
      <c r="DI8" s="177"/>
      <c r="DJ8" s="177"/>
      <c r="DK8" s="177"/>
      <c r="DL8" s="178"/>
      <c r="DM8" s="178"/>
      <c r="DN8" s="178"/>
      <c r="DO8" s="178"/>
      <c r="DP8" s="178"/>
      <c r="DQ8" s="178"/>
      <c r="DR8" s="178"/>
      <c r="DS8" s="177"/>
      <c r="DT8" s="177"/>
      <c r="DU8" s="177"/>
      <c r="DV8" s="177"/>
      <c r="DW8" s="177"/>
      <c r="DX8" s="177"/>
      <c r="DY8" s="177"/>
      <c r="DZ8" s="178"/>
      <c r="EA8" s="178"/>
      <c r="EB8" s="178"/>
      <c r="EC8" s="178"/>
      <c r="ED8" s="178"/>
      <c r="EE8" s="178"/>
      <c r="EF8" s="178"/>
      <c r="EG8" s="177"/>
      <c r="EH8" s="177"/>
      <c r="EI8" s="177"/>
      <c r="EJ8" s="177"/>
      <c r="EK8" s="177"/>
      <c r="EL8" s="181"/>
      <c r="EM8" s="182"/>
      <c r="EN8" s="195"/>
      <c r="EO8" s="178"/>
      <c r="EP8" s="178"/>
      <c r="EQ8" s="178"/>
      <c r="ER8" s="178"/>
      <c r="ES8" s="178"/>
      <c r="ET8" s="178"/>
      <c r="EU8" s="177"/>
      <c r="EV8" s="177"/>
      <c r="EW8" s="177"/>
      <c r="EX8" s="177"/>
      <c r="EY8" s="177"/>
      <c r="EZ8" s="177"/>
      <c r="FA8" s="177"/>
      <c r="FB8" s="178"/>
      <c r="FC8" s="178"/>
      <c r="FD8" s="178"/>
      <c r="FE8" s="178"/>
      <c r="FF8" s="178"/>
      <c r="FG8" s="183" t="s">
        <v>266</v>
      </c>
      <c r="FH8" s="178"/>
      <c r="FI8" s="177"/>
      <c r="FJ8" s="177"/>
      <c r="FK8" s="177"/>
      <c r="FL8" s="177"/>
      <c r="FM8" s="177"/>
      <c r="FN8" s="177"/>
      <c r="FO8" s="177"/>
      <c r="FP8" s="178"/>
      <c r="FQ8" s="179"/>
      <c r="FR8" s="180"/>
      <c r="FS8" s="178"/>
      <c r="FT8" s="178"/>
      <c r="FU8" s="178"/>
      <c r="FV8" s="178"/>
      <c r="FW8" s="177"/>
      <c r="FX8" s="177"/>
      <c r="FY8" s="177"/>
      <c r="FZ8" s="177"/>
      <c r="GA8" s="177"/>
      <c r="GB8" s="177"/>
      <c r="GC8" s="177"/>
      <c r="GD8" s="178"/>
      <c r="GE8" s="178"/>
      <c r="GF8" s="178"/>
      <c r="GG8" s="178"/>
      <c r="GH8" s="178"/>
      <c r="GI8" s="178"/>
      <c r="GJ8" s="178"/>
      <c r="GK8" s="177"/>
      <c r="GL8" s="177"/>
      <c r="GM8" s="177"/>
      <c r="GN8" s="177"/>
      <c r="GO8" s="177"/>
      <c r="GP8" s="177"/>
      <c r="GQ8" s="177"/>
      <c r="GR8" s="178"/>
      <c r="GS8" s="178"/>
      <c r="GT8" s="178"/>
      <c r="GU8" s="179"/>
      <c r="GV8" s="180"/>
      <c r="GW8" s="178"/>
      <c r="GX8" s="178"/>
      <c r="GY8" s="177"/>
      <c r="GZ8" s="177"/>
      <c r="HA8" s="177"/>
      <c r="HB8" s="177"/>
      <c r="HC8" s="177"/>
      <c r="HD8" s="177"/>
      <c r="HE8" s="177"/>
      <c r="HF8" s="178"/>
      <c r="HG8" s="178"/>
      <c r="HH8" s="178"/>
      <c r="HI8" s="178"/>
      <c r="HJ8" s="178"/>
      <c r="HK8" s="178"/>
      <c r="HL8" s="178"/>
      <c r="HM8" s="177"/>
      <c r="HN8" s="177"/>
      <c r="HO8" s="177"/>
      <c r="HP8" s="177"/>
      <c r="HQ8" s="177"/>
      <c r="HR8" s="177"/>
      <c r="HS8" s="177"/>
      <c r="HT8" s="178"/>
      <c r="HU8" s="178"/>
      <c r="HV8" s="178"/>
      <c r="HW8" s="178"/>
      <c r="HX8" s="178"/>
      <c r="HY8" s="178"/>
      <c r="HZ8" s="179"/>
      <c r="IA8" s="182"/>
      <c r="IB8" s="177"/>
      <c r="IC8" s="177"/>
      <c r="ID8" s="177"/>
      <c r="IE8" s="177"/>
      <c r="IF8" s="177"/>
      <c r="IG8" s="177"/>
      <c r="IH8" s="178"/>
      <c r="II8" s="178"/>
      <c r="IJ8" s="178"/>
      <c r="IK8" s="178"/>
      <c r="IL8" s="178"/>
      <c r="IM8" s="178"/>
      <c r="IN8" s="178"/>
      <c r="IO8" s="177"/>
      <c r="IP8" s="177"/>
      <c r="IQ8" s="177"/>
      <c r="IR8" s="177"/>
      <c r="IS8" s="177"/>
      <c r="IT8" s="177"/>
      <c r="IU8" s="177"/>
      <c r="IV8" s="178"/>
      <c r="IW8" s="178"/>
      <c r="IX8" s="178"/>
      <c r="IY8" s="178"/>
      <c r="IZ8" s="178"/>
      <c r="JA8" s="178"/>
      <c r="JB8" s="178"/>
      <c r="JC8" s="177"/>
      <c r="JD8" s="181"/>
      <c r="JE8" s="182"/>
      <c r="JF8" s="177"/>
      <c r="JG8" s="177"/>
      <c r="JH8" s="177"/>
      <c r="JI8" s="177"/>
      <c r="JJ8" s="178"/>
      <c r="JK8" s="178"/>
      <c r="JL8" s="178"/>
      <c r="JM8" s="178"/>
      <c r="JN8" s="178"/>
      <c r="JO8" s="178"/>
      <c r="JP8" s="178"/>
      <c r="JQ8" s="177"/>
      <c r="JR8" s="177"/>
      <c r="JS8" s="177"/>
      <c r="JT8" s="177"/>
      <c r="JU8" s="177"/>
      <c r="JV8" s="177"/>
      <c r="JW8" s="177"/>
      <c r="JX8" s="178"/>
      <c r="JY8" s="178"/>
      <c r="JZ8" s="178"/>
      <c r="KA8" s="178"/>
      <c r="KB8" s="178"/>
      <c r="KC8" s="178"/>
      <c r="KD8" s="178"/>
      <c r="KE8" s="177"/>
      <c r="KF8" s="177"/>
      <c r="KG8" s="177"/>
      <c r="KH8" s="177"/>
      <c r="KI8" s="181"/>
      <c r="KJ8" s="182"/>
      <c r="KK8" s="177"/>
      <c r="KL8" s="178"/>
      <c r="KM8" s="178"/>
      <c r="KN8" s="178"/>
      <c r="KO8" s="178"/>
      <c r="KP8" s="178"/>
      <c r="KQ8" s="178"/>
      <c r="KR8" s="178"/>
      <c r="KS8" s="177"/>
      <c r="KT8" s="177"/>
      <c r="KU8" s="177"/>
      <c r="KV8" s="177"/>
      <c r="KW8" s="177"/>
      <c r="KX8" s="177"/>
      <c r="KY8" s="177"/>
      <c r="KZ8" s="178"/>
      <c r="LA8" s="178"/>
      <c r="LB8" s="178"/>
      <c r="LC8" s="178"/>
      <c r="LD8" s="178"/>
      <c r="LE8" s="178"/>
      <c r="LF8" s="178"/>
      <c r="LG8" s="177"/>
      <c r="LH8" s="177"/>
      <c r="LI8" s="177"/>
      <c r="LJ8" s="177"/>
      <c r="LK8" s="177"/>
      <c r="LL8" s="177"/>
      <c r="LM8" s="181"/>
    </row>
    <row r="9" spans="1:325" ht="16.5">
      <c r="A9" s="85"/>
      <c r="B9" s="184" t="s">
        <v>4</v>
      </c>
      <c r="C9" s="207" t="s">
        <v>326</v>
      </c>
      <c r="D9" s="208"/>
      <c r="E9" s="208"/>
      <c r="F9" s="208"/>
      <c r="G9" s="209" t="s">
        <v>3</v>
      </c>
      <c r="H9" s="210" t="s">
        <v>0</v>
      </c>
      <c r="I9" s="210"/>
      <c r="J9" s="208" t="s">
        <v>64</v>
      </c>
      <c r="K9" s="211">
        <f>IF(AND(NOT(ISNUMBER(Gantt!$Q9)),NOT(ISNUMBER(Gantt!$N9))),"",IF(NOT(ISNUMBER(Gantt!$Q9)),0,Gantt!$Q9/Gantt!$N9))</f>
        <v>1.25</v>
      </c>
      <c r="L9" s="212">
        <v>43941</v>
      </c>
      <c r="M9" s="212">
        <v>43944</v>
      </c>
      <c r="N9" s="213">
        <f t="shared" si="0"/>
        <v>4</v>
      </c>
      <c r="O9" s="212">
        <v>43941</v>
      </c>
      <c r="P9" s="212">
        <v>43945</v>
      </c>
      <c r="Q9" s="213">
        <f t="shared" si="1"/>
        <v>5</v>
      </c>
      <c r="R9" s="213" t="str">
        <f t="shared" ca="1" si="2"/>
        <v>완료</v>
      </c>
      <c r="S9" s="185"/>
      <c r="T9" s="176"/>
      <c r="U9" s="178"/>
      <c r="V9" s="178"/>
      <c r="W9" s="178"/>
      <c r="X9" s="178"/>
      <c r="Y9" s="196"/>
      <c r="Z9" s="177"/>
      <c r="AA9" s="177"/>
      <c r="AB9" s="177"/>
      <c r="AC9" s="177"/>
      <c r="AD9" s="177"/>
      <c r="AE9" s="177"/>
      <c r="AF9" s="178"/>
      <c r="AG9" s="178"/>
      <c r="AH9" s="178"/>
      <c r="AI9" s="178"/>
      <c r="AJ9" s="178"/>
      <c r="AK9" s="178"/>
      <c r="AL9" s="178"/>
      <c r="AM9" s="177"/>
      <c r="AN9" s="177"/>
      <c r="AO9" s="177"/>
      <c r="AP9" s="177"/>
      <c r="AQ9" s="177"/>
      <c r="AR9" s="186" t="s">
        <v>267</v>
      </c>
      <c r="AS9" s="177"/>
      <c r="AT9" s="178"/>
      <c r="AU9" s="178"/>
      <c r="AV9" s="178"/>
      <c r="AW9" s="178"/>
      <c r="AX9" s="179"/>
      <c r="AY9" s="180"/>
      <c r="AZ9" s="178"/>
      <c r="BA9" s="177"/>
      <c r="BB9" s="177"/>
      <c r="BC9" s="177"/>
      <c r="BD9" s="177"/>
      <c r="BE9" s="177"/>
      <c r="BF9" s="177"/>
      <c r="BG9" s="177"/>
      <c r="BH9" s="178"/>
      <c r="BI9" s="178"/>
      <c r="BJ9" s="178"/>
      <c r="BK9" s="178"/>
      <c r="BL9" s="178"/>
      <c r="BM9" s="178"/>
      <c r="BN9" s="178"/>
      <c r="BO9" s="177"/>
      <c r="BP9" s="177"/>
      <c r="BQ9" s="177"/>
      <c r="BR9" s="177"/>
      <c r="BS9" s="177"/>
      <c r="BT9" s="177"/>
      <c r="BU9" s="177"/>
      <c r="BV9" s="178"/>
      <c r="BW9" s="178"/>
      <c r="BX9" s="178"/>
      <c r="BY9" s="178"/>
      <c r="BZ9" s="178"/>
      <c r="CA9" s="178"/>
      <c r="CB9" s="178"/>
      <c r="CC9" s="181"/>
      <c r="CD9" s="182"/>
      <c r="CE9" s="177"/>
      <c r="CF9" s="177"/>
      <c r="CG9" s="177"/>
      <c r="CH9" s="177"/>
      <c r="CI9" s="177"/>
      <c r="CJ9" s="178"/>
      <c r="CK9" s="178"/>
      <c r="CL9" s="178"/>
      <c r="CM9" s="178"/>
      <c r="CN9" s="178"/>
      <c r="CO9" s="178"/>
      <c r="CP9" s="178"/>
      <c r="CQ9" s="177"/>
      <c r="CR9" s="177"/>
      <c r="CS9" s="177"/>
      <c r="CT9" s="177"/>
      <c r="CU9" s="177"/>
      <c r="CV9" s="177"/>
      <c r="CW9" s="177"/>
      <c r="CX9" s="178"/>
      <c r="CY9" s="178"/>
      <c r="CZ9" s="178"/>
      <c r="DA9" s="178"/>
      <c r="DB9" s="178"/>
      <c r="DC9" s="178"/>
      <c r="DD9" s="178"/>
      <c r="DE9" s="177"/>
      <c r="DF9" s="177"/>
      <c r="DG9" s="181"/>
      <c r="DH9" s="182"/>
      <c r="DI9" s="177"/>
      <c r="DJ9" s="177"/>
      <c r="DK9" s="177"/>
      <c r="DL9" s="178"/>
      <c r="DM9" s="178"/>
      <c r="DN9" s="178"/>
      <c r="DO9" s="178"/>
      <c r="DP9" s="178"/>
      <c r="DQ9" s="178"/>
      <c r="DR9" s="178"/>
      <c r="DS9" s="177"/>
      <c r="DT9" s="177"/>
      <c r="DU9" s="177"/>
      <c r="DV9" s="177"/>
      <c r="DW9" s="177"/>
      <c r="DX9" s="177"/>
      <c r="DY9" s="177"/>
      <c r="DZ9" s="178"/>
      <c r="EA9" s="178"/>
      <c r="EB9" s="178"/>
      <c r="EC9" s="178"/>
      <c r="ED9" s="178"/>
      <c r="EE9" s="178"/>
      <c r="EF9" s="178"/>
      <c r="EG9" s="177"/>
      <c r="EH9" s="177"/>
      <c r="EI9" s="177"/>
      <c r="EJ9" s="177"/>
      <c r="EK9" s="177"/>
      <c r="EL9" s="181"/>
      <c r="EM9" s="182"/>
      <c r="EN9" s="178"/>
      <c r="EO9" s="178"/>
      <c r="EP9" s="178"/>
      <c r="EQ9" s="178"/>
      <c r="ER9" s="178"/>
      <c r="ES9" s="178"/>
      <c r="ET9" s="178"/>
      <c r="EU9" s="177"/>
      <c r="EV9" s="177"/>
      <c r="EW9" s="177"/>
      <c r="EX9" s="177"/>
      <c r="EY9" s="177"/>
      <c r="EZ9" s="177"/>
      <c r="FA9" s="177"/>
      <c r="FB9" s="178"/>
      <c r="FC9" s="178"/>
      <c r="FD9" s="178"/>
      <c r="FE9" s="178"/>
      <c r="FF9" s="178"/>
      <c r="FG9" s="178"/>
      <c r="FH9" s="178"/>
      <c r="FI9" s="177"/>
      <c r="FJ9" s="177"/>
      <c r="FK9" s="177"/>
      <c r="FL9" s="177"/>
      <c r="FM9" s="177"/>
      <c r="FN9" s="177"/>
      <c r="FO9" s="177"/>
      <c r="FP9" s="178"/>
      <c r="FQ9" s="179"/>
      <c r="FR9" s="180"/>
      <c r="FS9" s="178"/>
      <c r="FT9" s="178"/>
      <c r="FU9" s="178"/>
      <c r="FV9" s="178"/>
      <c r="FW9" s="177"/>
      <c r="FX9" s="177"/>
      <c r="FY9" s="177"/>
      <c r="FZ9" s="177"/>
      <c r="GA9" s="177"/>
      <c r="GB9" s="177"/>
      <c r="GC9" s="177"/>
      <c r="GD9" s="178"/>
      <c r="GE9" s="178"/>
      <c r="GF9" s="178"/>
      <c r="GG9" s="178"/>
      <c r="GH9" s="178"/>
      <c r="GI9" s="178"/>
      <c r="GJ9" s="178"/>
      <c r="GK9" s="177"/>
      <c r="GL9" s="177"/>
      <c r="GM9" s="177"/>
      <c r="GN9" s="177"/>
      <c r="GO9" s="177"/>
      <c r="GP9" s="177"/>
      <c r="GQ9" s="177"/>
      <c r="GR9" s="178"/>
      <c r="GS9" s="178"/>
      <c r="GT9" s="178"/>
      <c r="GU9" s="179"/>
      <c r="GV9" s="180"/>
      <c r="GW9" s="178"/>
      <c r="GX9" s="178"/>
      <c r="GY9" s="177"/>
      <c r="GZ9" s="177"/>
      <c r="HA9" s="177"/>
      <c r="HB9" s="177"/>
      <c r="HC9" s="177"/>
      <c r="HD9" s="177"/>
      <c r="HE9" s="177"/>
      <c r="HF9" s="178"/>
      <c r="HG9" s="178"/>
      <c r="HH9" s="178"/>
      <c r="HI9" s="178"/>
      <c r="HJ9" s="178"/>
      <c r="HK9" s="178"/>
      <c r="HL9" s="178"/>
      <c r="HM9" s="177"/>
      <c r="HN9" s="177"/>
      <c r="HO9" s="177"/>
      <c r="HP9" s="177"/>
      <c r="HQ9" s="177"/>
      <c r="HR9" s="177"/>
      <c r="HS9" s="177"/>
      <c r="HT9" s="178"/>
      <c r="HU9" s="178"/>
      <c r="HV9" s="178"/>
      <c r="HW9" s="178"/>
      <c r="HX9" s="178"/>
      <c r="HY9" s="178"/>
      <c r="HZ9" s="179"/>
      <c r="IA9" s="182"/>
      <c r="IB9" s="177"/>
      <c r="IC9" s="177"/>
      <c r="ID9" s="177"/>
      <c r="IE9" s="177"/>
      <c r="IF9" s="177"/>
      <c r="IG9" s="177"/>
      <c r="IH9" s="178"/>
      <c r="II9" s="178"/>
      <c r="IJ9" s="178"/>
      <c r="IK9" s="178"/>
      <c r="IL9" s="178"/>
      <c r="IM9" s="178"/>
      <c r="IN9" s="178"/>
      <c r="IO9" s="177"/>
      <c r="IP9" s="177"/>
      <c r="IQ9" s="177"/>
      <c r="IR9" s="177"/>
      <c r="IS9" s="177"/>
      <c r="IT9" s="177"/>
      <c r="IU9" s="177"/>
      <c r="IV9" s="178"/>
      <c r="IW9" s="178"/>
      <c r="IX9" s="178"/>
      <c r="IY9" s="178"/>
      <c r="IZ9" s="178"/>
      <c r="JA9" s="178"/>
      <c r="JB9" s="178"/>
      <c r="JC9" s="177"/>
      <c r="JD9" s="181"/>
      <c r="JE9" s="182"/>
      <c r="JF9" s="177"/>
      <c r="JG9" s="177"/>
      <c r="JH9" s="177"/>
      <c r="JI9" s="177"/>
      <c r="JJ9" s="178"/>
      <c r="JK9" s="178"/>
      <c r="JL9" s="178"/>
      <c r="JM9" s="178"/>
      <c r="JN9" s="178"/>
      <c r="JO9" s="178"/>
      <c r="JP9" s="178"/>
      <c r="JQ9" s="177"/>
      <c r="JR9" s="177"/>
      <c r="JS9" s="177"/>
      <c r="JT9" s="177"/>
      <c r="JU9" s="177"/>
      <c r="JV9" s="177"/>
      <c r="JW9" s="177"/>
      <c r="JX9" s="178"/>
      <c r="JY9" s="178"/>
      <c r="JZ9" s="178"/>
      <c r="KA9" s="178"/>
      <c r="KB9" s="178"/>
      <c r="KC9" s="178"/>
      <c r="KD9" s="178"/>
      <c r="KE9" s="177"/>
      <c r="KF9" s="177"/>
      <c r="KG9" s="177"/>
      <c r="KH9" s="177"/>
      <c r="KI9" s="181"/>
      <c r="KJ9" s="182"/>
      <c r="KK9" s="177"/>
      <c r="KL9" s="178"/>
      <c r="KM9" s="178"/>
      <c r="KN9" s="178"/>
      <c r="KO9" s="178"/>
      <c r="KP9" s="178"/>
      <c r="KQ9" s="178"/>
      <c r="KR9" s="178"/>
      <c r="KS9" s="177"/>
      <c r="KT9" s="177"/>
      <c r="KU9" s="177"/>
      <c r="KV9" s="177"/>
      <c r="KW9" s="177"/>
      <c r="KX9" s="177"/>
      <c r="KY9" s="177"/>
      <c r="KZ9" s="178"/>
      <c r="LA9" s="178"/>
      <c r="LB9" s="178"/>
      <c r="LC9" s="178"/>
      <c r="LD9" s="178"/>
      <c r="LE9" s="178"/>
      <c r="LF9" s="178"/>
      <c r="LG9" s="177"/>
      <c r="LH9" s="177"/>
      <c r="LI9" s="177"/>
      <c r="LJ9" s="177"/>
      <c r="LK9" s="177"/>
      <c r="LL9" s="177"/>
      <c r="LM9" s="181"/>
    </row>
    <row r="10" spans="1:325" ht="16.5" outlineLevel="1">
      <c r="A10" s="13"/>
      <c r="B10" s="157" t="s">
        <v>8</v>
      </c>
      <c r="C10" s="214" t="s">
        <v>328</v>
      </c>
      <c r="D10" s="215"/>
      <c r="E10" s="215"/>
      <c r="F10" s="215"/>
      <c r="G10" s="216"/>
      <c r="H10" s="217" t="s">
        <v>0</v>
      </c>
      <c r="I10" s="217"/>
      <c r="J10" s="218" t="s">
        <v>64</v>
      </c>
      <c r="K10" s="219">
        <f>IF(AND(NOT(ISNUMBER(Gantt!$Q10)),NOT(ISNUMBER(Gantt!$N10))),"",IF(NOT(ISNUMBER(Gantt!$Q10)),0,Gantt!$Q10/Gantt!$N10))</f>
        <v>1</v>
      </c>
      <c r="L10" s="220">
        <v>43942</v>
      </c>
      <c r="M10" s="220">
        <v>43942</v>
      </c>
      <c r="N10" s="221">
        <f t="shared" si="0"/>
        <v>1</v>
      </c>
      <c r="O10" s="220">
        <v>43941</v>
      </c>
      <c r="P10" s="220">
        <v>43941</v>
      </c>
      <c r="Q10" s="221">
        <f t="shared" si="1"/>
        <v>1</v>
      </c>
      <c r="R10" s="221" t="str">
        <f t="shared" ca="1" si="2"/>
        <v>완료</v>
      </c>
      <c r="S10" s="158"/>
      <c r="T10" s="159"/>
      <c r="U10" s="162"/>
      <c r="V10" s="162"/>
      <c r="W10" s="194"/>
      <c r="X10" s="162"/>
      <c r="Y10" s="160"/>
      <c r="Z10" s="160"/>
      <c r="AA10" s="160"/>
      <c r="AB10" s="160"/>
      <c r="AC10" s="160"/>
      <c r="AD10" s="160"/>
      <c r="AE10" s="160"/>
      <c r="AF10" s="162"/>
      <c r="AG10" s="162"/>
      <c r="AH10" s="162"/>
      <c r="AI10" s="162"/>
      <c r="AJ10" s="162"/>
      <c r="AK10" s="162"/>
      <c r="AL10" s="162"/>
      <c r="AM10" s="160"/>
      <c r="AN10" s="160"/>
      <c r="AO10" s="160"/>
      <c r="AP10" s="161" t="s">
        <v>268</v>
      </c>
      <c r="AQ10" s="160"/>
      <c r="AR10" s="160"/>
      <c r="AS10" s="160"/>
      <c r="AT10" s="162"/>
      <c r="AU10" s="162"/>
      <c r="AV10" s="162"/>
      <c r="AW10" s="162"/>
      <c r="AX10" s="163"/>
      <c r="AY10" s="164"/>
      <c r="AZ10" s="162"/>
      <c r="BA10" s="160"/>
      <c r="BB10" s="160"/>
      <c r="BC10" s="160"/>
      <c r="BD10" s="160"/>
      <c r="BE10" s="160"/>
      <c r="BF10" s="160"/>
      <c r="BG10" s="160"/>
      <c r="BH10" s="162"/>
      <c r="BI10" s="162"/>
      <c r="BJ10" s="162"/>
      <c r="BK10" s="162"/>
      <c r="BL10" s="162"/>
      <c r="BM10" s="162"/>
      <c r="BN10" s="162"/>
      <c r="BO10" s="160"/>
      <c r="BP10" s="160"/>
      <c r="BQ10" s="160"/>
      <c r="BR10" s="160"/>
      <c r="BS10" s="160"/>
      <c r="BT10" s="160"/>
      <c r="BU10" s="160"/>
      <c r="BV10" s="162"/>
      <c r="BW10" s="162"/>
      <c r="BX10" s="162"/>
      <c r="BY10" s="162"/>
      <c r="BZ10" s="162"/>
      <c r="CA10" s="162"/>
      <c r="CB10" s="162"/>
      <c r="CC10" s="165"/>
      <c r="CD10" s="166"/>
      <c r="CE10" s="160"/>
      <c r="CF10" s="160"/>
      <c r="CG10" s="160"/>
      <c r="CH10" s="160"/>
      <c r="CI10" s="160"/>
      <c r="CJ10" s="162"/>
      <c r="CK10" s="162"/>
      <c r="CL10" s="162"/>
      <c r="CM10" s="162"/>
      <c r="CN10" s="162"/>
      <c r="CO10" s="162"/>
      <c r="CP10" s="162"/>
      <c r="CQ10" s="160"/>
      <c r="CR10" s="160"/>
      <c r="CS10" s="160"/>
      <c r="CT10" s="160"/>
      <c r="CU10" s="160"/>
      <c r="CV10" s="160"/>
      <c r="CW10" s="160"/>
      <c r="CX10" s="162"/>
      <c r="CY10" s="162"/>
      <c r="CZ10" s="162"/>
      <c r="DA10" s="162"/>
      <c r="DB10" s="162"/>
      <c r="DC10" s="162"/>
      <c r="DD10" s="162"/>
      <c r="DE10" s="160"/>
      <c r="DF10" s="160"/>
      <c r="DG10" s="165"/>
      <c r="DH10" s="166"/>
      <c r="DI10" s="160"/>
      <c r="DJ10" s="160"/>
      <c r="DK10" s="160"/>
      <c r="DL10" s="162"/>
      <c r="DM10" s="162"/>
      <c r="DN10" s="162"/>
      <c r="DO10" s="162"/>
      <c r="DP10" s="162"/>
      <c r="DQ10" s="162"/>
      <c r="DR10" s="162"/>
      <c r="DS10" s="160"/>
      <c r="DT10" s="160"/>
      <c r="DU10" s="160"/>
      <c r="DV10" s="160"/>
      <c r="DW10" s="160"/>
      <c r="DX10" s="160"/>
      <c r="DY10" s="160"/>
      <c r="DZ10" s="162"/>
      <c r="EA10" s="162"/>
      <c r="EB10" s="162"/>
      <c r="EC10" s="162"/>
      <c r="ED10" s="162"/>
      <c r="EE10" s="162"/>
      <c r="EF10" s="162"/>
      <c r="EG10" s="160"/>
      <c r="EH10" s="160"/>
      <c r="EI10" s="160"/>
      <c r="EJ10" s="160"/>
      <c r="EK10" s="160"/>
      <c r="EL10" s="165"/>
      <c r="EM10" s="166"/>
      <c r="EN10" s="162"/>
      <c r="EO10" s="162"/>
      <c r="EP10" s="162"/>
      <c r="EQ10" s="162"/>
      <c r="ER10" s="162"/>
      <c r="ES10" s="162"/>
      <c r="ET10" s="162"/>
      <c r="EU10" s="160"/>
      <c r="EV10" s="160"/>
      <c r="EW10" s="160"/>
      <c r="EX10" s="160"/>
      <c r="EY10" s="160"/>
      <c r="EZ10" s="160"/>
      <c r="FA10" s="160"/>
      <c r="FB10" s="162"/>
      <c r="FC10" s="162"/>
      <c r="FD10" s="162"/>
      <c r="FE10" s="162"/>
      <c r="FF10" s="162"/>
      <c r="FG10" s="162"/>
      <c r="FH10" s="162"/>
      <c r="FI10" s="160"/>
      <c r="FJ10" s="160"/>
      <c r="FK10" s="160"/>
      <c r="FL10" s="160"/>
      <c r="FM10" s="160"/>
      <c r="FN10" s="160"/>
      <c r="FO10" s="160"/>
      <c r="FP10" s="162"/>
      <c r="FQ10" s="163"/>
      <c r="FR10" s="164"/>
      <c r="FS10" s="162"/>
      <c r="FT10" s="162"/>
      <c r="FU10" s="162"/>
      <c r="FV10" s="162"/>
      <c r="FW10" s="160"/>
      <c r="FX10" s="160"/>
      <c r="FY10" s="160"/>
      <c r="FZ10" s="160"/>
      <c r="GA10" s="160"/>
      <c r="GB10" s="160"/>
      <c r="GC10" s="160"/>
      <c r="GD10" s="162"/>
      <c r="GE10" s="162"/>
      <c r="GF10" s="162"/>
      <c r="GG10" s="162"/>
      <c r="GH10" s="162"/>
      <c r="GI10" s="162"/>
      <c r="GJ10" s="162"/>
      <c r="GK10" s="160"/>
      <c r="GL10" s="160"/>
      <c r="GM10" s="160"/>
      <c r="GN10" s="160"/>
      <c r="GO10" s="160"/>
      <c r="GP10" s="160"/>
      <c r="GQ10" s="160"/>
      <c r="GR10" s="162"/>
      <c r="GS10" s="162"/>
      <c r="GT10" s="162"/>
      <c r="GU10" s="163"/>
      <c r="GV10" s="164"/>
      <c r="GW10" s="162"/>
      <c r="GX10" s="162"/>
      <c r="GY10" s="160"/>
      <c r="GZ10" s="160"/>
      <c r="HA10" s="160"/>
      <c r="HB10" s="160"/>
      <c r="HC10" s="160"/>
      <c r="HD10" s="160"/>
      <c r="HE10" s="160"/>
      <c r="HF10" s="162"/>
      <c r="HG10" s="162"/>
      <c r="HH10" s="162"/>
      <c r="HI10" s="162"/>
      <c r="HJ10" s="162"/>
      <c r="HK10" s="162"/>
      <c r="HL10" s="162"/>
      <c r="HM10" s="160"/>
      <c r="HN10" s="160"/>
      <c r="HO10" s="160"/>
      <c r="HP10" s="160"/>
      <c r="HQ10" s="160"/>
      <c r="HR10" s="160"/>
      <c r="HS10" s="160"/>
      <c r="HT10" s="162"/>
      <c r="HU10" s="162"/>
      <c r="HV10" s="162"/>
      <c r="HW10" s="162"/>
      <c r="HX10" s="162"/>
      <c r="HY10" s="162"/>
      <c r="HZ10" s="163"/>
      <c r="IA10" s="166"/>
      <c r="IB10" s="160"/>
      <c r="IC10" s="160"/>
      <c r="ID10" s="160"/>
      <c r="IE10" s="160"/>
      <c r="IF10" s="160"/>
      <c r="IG10" s="160"/>
      <c r="IH10" s="162"/>
      <c r="II10" s="162"/>
      <c r="IJ10" s="162"/>
      <c r="IK10" s="162"/>
      <c r="IL10" s="162"/>
      <c r="IM10" s="162"/>
      <c r="IN10" s="162"/>
      <c r="IO10" s="160"/>
      <c r="IP10" s="160"/>
      <c r="IQ10" s="160"/>
      <c r="IR10" s="160"/>
      <c r="IS10" s="160"/>
      <c r="IT10" s="160"/>
      <c r="IU10" s="160"/>
      <c r="IV10" s="162"/>
      <c r="IW10" s="162"/>
      <c r="IX10" s="162"/>
      <c r="IY10" s="162"/>
      <c r="IZ10" s="162"/>
      <c r="JA10" s="162"/>
      <c r="JB10" s="162"/>
      <c r="JC10" s="160"/>
      <c r="JD10" s="165"/>
      <c r="JE10" s="166"/>
      <c r="JF10" s="160"/>
      <c r="JG10" s="160"/>
      <c r="JH10" s="160"/>
      <c r="JI10" s="160"/>
      <c r="JJ10" s="162"/>
      <c r="JK10" s="162"/>
      <c r="JL10" s="162"/>
      <c r="JM10" s="162"/>
      <c r="JN10" s="162"/>
      <c r="JO10" s="162"/>
      <c r="JP10" s="162"/>
      <c r="JQ10" s="160"/>
      <c r="JR10" s="160"/>
      <c r="JS10" s="160"/>
      <c r="JT10" s="160"/>
      <c r="JU10" s="160"/>
      <c r="JV10" s="160"/>
      <c r="JW10" s="160"/>
      <c r="JX10" s="162"/>
      <c r="JY10" s="162"/>
      <c r="JZ10" s="162"/>
      <c r="KA10" s="162"/>
      <c r="KB10" s="162"/>
      <c r="KC10" s="162"/>
      <c r="KD10" s="162"/>
      <c r="KE10" s="160"/>
      <c r="KF10" s="160"/>
      <c r="KG10" s="160"/>
      <c r="KH10" s="160"/>
      <c r="KI10" s="165"/>
      <c r="KJ10" s="166"/>
      <c r="KK10" s="160"/>
      <c r="KL10" s="162"/>
      <c r="KM10" s="162"/>
      <c r="KN10" s="162"/>
      <c r="KO10" s="162"/>
      <c r="KP10" s="162"/>
      <c r="KQ10" s="162"/>
      <c r="KR10" s="162"/>
      <c r="KS10" s="160"/>
      <c r="KT10" s="160"/>
      <c r="KU10" s="160"/>
      <c r="KV10" s="160"/>
      <c r="KW10" s="160"/>
      <c r="KX10" s="160"/>
      <c r="KY10" s="160"/>
      <c r="KZ10" s="162"/>
      <c r="LA10" s="162"/>
      <c r="LB10" s="162"/>
      <c r="LC10" s="162"/>
      <c r="LD10" s="162"/>
      <c r="LE10" s="162"/>
      <c r="LF10" s="162"/>
      <c r="LG10" s="160"/>
      <c r="LH10" s="160"/>
      <c r="LI10" s="160"/>
      <c r="LJ10" s="160"/>
      <c r="LK10" s="160"/>
      <c r="LL10" s="160"/>
      <c r="LM10" s="165"/>
    </row>
    <row r="11" spans="1:325" ht="16.5" outlineLevel="1">
      <c r="A11" s="13"/>
      <c r="B11" s="157" t="s">
        <v>5</v>
      </c>
      <c r="C11" s="214" t="s">
        <v>329</v>
      </c>
      <c r="D11" s="215"/>
      <c r="E11" s="215"/>
      <c r="F11" s="215"/>
      <c r="G11" s="216" t="s">
        <v>69</v>
      </c>
      <c r="H11" s="217" t="s">
        <v>0</v>
      </c>
      <c r="I11" s="217"/>
      <c r="J11" s="218"/>
      <c r="K11" s="219">
        <f>IF(AND(NOT(ISNUMBER(Gantt!$Q11)),NOT(ISNUMBER(Gantt!$N11))),"",IF(NOT(ISNUMBER(Gantt!$Q11)),0,Gantt!$Q11/Gantt!$N11))</f>
        <v>1</v>
      </c>
      <c r="L11" s="220">
        <v>43943</v>
      </c>
      <c r="M11" s="220">
        <v>43943</v>
      </c>
      <c r="N11" s="221">
        <f t="shared" si="0"/>
        <v>1</v>
      </c>
      <c r="O11" s="220">
        <v>43942</v>
      </c>
      <c r="P11" s="220">
        <v>43942</v>
      </c>
      <c r="Q11" s="221">
        <f t="shared" si="1"/>
        <v>1</v>
      </c>
      <c r="R11" s="221" t="str">
        <f t="shared" ca="1" si="2"/>
        <v>완료</v>
      </c>
      <c r="S11" s="158"/>
      <c r="T11" s="159"/>
      <c r="U11" s="162"/>
      <c r="V11" s="162"/>
      <c r="W11" s="162"/>
      <c r="X11" s="194"/>
      <c r="Y11" s="160"/>
      <c r="Z11" s="160"/>
      <c r="AA11" s="160"/>
      <c r="AB11" s="160"/>
      <c r="AC11" s="160"/>
      <c r="AD11" s="160"/>
      <c r="AE11" s="160"/>
      <c r="AF11" s="162"/>
      <c r="AG11" s="162"/>
      <c r="AH11" s="162"/>
      <c r="AI11" s="162"/>
      <c r="AJ11" s="162"/>
      <c r="AK11" s="162"/>
      <c r="AL11" s="162"/>
      <c r="AM11" s="160"/>
      <c r="AN11" s="160"/>
      <c r="AO11" s="160"/>
      <c r="AP11" s="160"/>
      <c r="AQ11" s="161" t="s">
        <v>269</v>
      </c>
      <c r="AR11" s="160"/>
      <c r="AS11" s="160"/>
      <c r="AT11" s="162"/>
      <c r="AU11" s="162"/>
      <c r="AV11" s="162"/>
      <c r="AW11" s="162"/>
      <c r="AX11" s="163"/>
      <c r="AY11" s="164"/>
      <c r="AZ11" s="162"/>
      <c r="BA11" s="160"/>
      <c r="BB11" s="160"/>
      <c r="BC11" s="160"/>
      <c r="BD11" s="160"/>
      <c r="BE11" s="160"/>
      <c r="BF11" s="160"/>
      <c r="BG11" s="160"/>
      <c r="BH11" s="162"/>
      <c r="BI11" s="162"/>
      <c r="BJ11" s="162"/>
      <c r="BK11" s="162"/>
      <c r="BL11" s="162"/>
      <c r="BM11" s="162"/>
      <c r="BN11" s="162"/>
      <c r="BO11" s="160"/>
      <c r="BP11" s="160"/>
      <c r="BQ11" s="160"/>
      <c r="BR11" s="160"/>
      <c r="BS11" s="160"/>
      <c r="BT11" s="160"/>
      <c r="BU11" s="160"/>
      <c r="BV11" s="162"/>
      <c r="BW11" s="162"/>
      <c r="BX11" s="162"/>
      <c r="BY11" s="162"/>
      <c r="BZ11" s="162"/>
      <c r="CA11" s="162"/>
      <c r="CB11" s="162"/>
      <c r="CC11" s="165"/>
      <c r="CD11" s="166"/>
      <c r="CE11" s="160"/>
      <c r="CF11" s="160"/>
      <c r="CG11" s="160"/>
      <c r="CH11" s="160"/>
      <c r="CI11" s="160"/>
      <c r="CJ11" s="162"/>
      <c r="CK11" s="162"/>
      <c r="CL11" s="162"/>
      <c r="CM11" s="162"/>
      <c r="CN11" s="162"/>
      <c r="CO11" s="162"/>
      <c r="CP11" s="162"/>
      <c r="CQ11" s="160"/>
      <c r="CR11" s="160"/>
      <c r="CS11" s="160"/>
      <c r="CT11" s="160"/>
      <c r="CU11" s="160"/>
      <c r="CV11" s="160"/>
      <c r="CW11" s="160"/>
      <c r="CX11" s="162"/>
      <c r="CY11" s="162"/>
      <c r="CZ11" s="162"/>
      <c r="DA11" s="162"/>
      <c r="DB11" s="162"/>
      <c r="DC11" s="162"/>
      <c r="DD11" s="162"/>
      <c r="DE11" s="160"/>
      <c r="DF11" s="160"/>
      <c r="DG11" s="165"/>
      <c r="DH11" s="166"/>
      <c r="DI11" s="160"/>
      <c r="DJ11" s="160"/>
      <c r="DK11" s="160"/>
      <c r="DL11" s="162"/>
      <c r="DM11" s="162"/>
      <c r="DN11" s="162"/>
      <c r="DO11" s="162"/>
      <c r="DP11" s="162"/>
      <c r="DQ11" s="162"/>
      <c r="DR11" s="162"/>
      <c r="DS11" s="160"/>
      <c r="DT11" s="160"/>
      <c r="DU11" s="160"/>
      <c r="DV11" s="160"/>
      <c r="DW11" s="160"/>
      <c r="DX11" s="160"/>
      <c r="DY11" s="160"/>
      <c r="DZ11" s="162"/>
      <c r="EA11" s="162"/>
      <c r="EB11" s="162"/>
      <c r="EC11" s="162"/>
      <c r="ED11" s="162"/>
      <c r="EE11" s="162"/>
      <c r="EF11" s="162"/>
      <c r="EG11" s="160"/>
      <c r="EH11" s="160"/>
      <c r="EI11" s="160"/>
      <c r="EJ11" s="160"/>
      <c r="EK11" s="160"/>
      <c r="EL11" s="165"/>
      <c r="EM11" s="166"/>
      <c r="EN11" s="162"/>
      <c r="EO11" s="162"/>
      <c r="EP11" s="162"/>
      <c r="EQ11" s="162"/>
      <c r="ER11" s="162"/>
      <c r="ES11" s="162"/>
      <c r="ET11" s="162"/>
      <c r="EU11" s="160"/>
      <c r="EV11" s="160"/>
      <c r="EW11" s="160"/>
      <c r="EX11" s="160"/>
      <c r="EY11" s="160"/>
      <c r="EZ11" s="160"/>
      <c r="FA11" s="160"/>
      <c r="FB11" s="162"/>
      <c r="FC11" s="162"/>
      <c r="FD11" s="162"/>
      <c r="FE11" s="162"/>
      <c r="FF11" s="162"/>
      <c r="FG11" s="162"/>
      <c r="FH11" s="162"/>
      <c r="FI11" s="160"/>
      <c r="FJ11" s="160"/>
      <c r="FK11" s="160"/>
      <c r="FL11" s="160"/>
      <c r="FM11" s="160"/>
      <c r="FN11" s="160"/>
      <c r="FO11" s="160"/>
      <c r="FP11" s="162"/>
      <c r="FQ11" s="163"/>
      <c r="FR11" s="164"/>
      <c r="FS11" s="162"/>
      <c r="FT11" s="162"/>
      <c r="FU11" s="162"/>
      <c r="FV11" s="162"/>
      <c r="FW11" s="160"/>
      <c r="FX11" s="160"/>
      <c r="FY11" s="160"/>
      <c r="FZ11" s="160"/>
      <c r="GA11" s="160"/>
      <c r="GB11" s="160"/>
      <c r="GC11" s="160"/>
      <c r="GD11" s="162"/>
      <c r="GE11" s="162"/>
      <c r="GF11" s="162"/>
      <c r="GG11" s="162"/>
      <c r="GH11" s="162"/>
      <c r="GI11" s="162"/>
      <c r="GJ11" s="162"/>
      <c r="GK11" s="160"/>
      <c r="GL11" s="160"/>
      <c r="GM11" s="160"/>
      <c r="GN11" s="160"/>
      <c r="GO11" s="160"/>
      <c r="GP11" s="160"/>
      <c r="GQ11" s="160"/>
      <c r="GR11" s="162"/>
      <c r="GS11" s="162"/>
      <c r="GT11" s="162"/>
      <c r="GU11" s="163"/>
      <c r="GV11" s="164"/>
      <c r="GW11" s="162"/>
      <c r="GX11" s="162"/>
      <c r="GY11" s="160"/>
      <c r="GZ11" s="160"/>
      <c r="HA11" s="160"/>
      <c r="HB11" s="160"/>
      <c r="HC11" s="160"/>
      <c r="HD11" s="160"/>
      <c r="HE11" s="160"/>
      <c r="HF11" s="162"/>
      <c r="HG11" s="162"/>
      <c r="HH11" s="162"/>
      <c r="HI11" s="162"/>
      <c r="HJ11" s="162"/>
      <c r="HK11" s="162"/>
      <c r="HL11" s="162"/>
      <c r="HM11" s="160"/>
      <c r="HN11" s="160"/>
      <c r="HO11" s="160"/>
      <c r="HP11" s="160"/>
      <c r="HQ11" s="160"/>
      <c r="HR11" s="160"/>
      <c r="HS11" s="160"/>
      <c r="HT11" s="162"/>
      <c r="HU11" s="162"/>
      <c r="HV11" s="162"/>
      <c r="HW11" s="162"/>
      <c r="HX11" s="162"/>
      <c r="HY11" s="162"/>
      <c r="HZ11" s="163"/>
      <c r="IA11" s="166"/>
      <c r="IB11" s="160"/>
      <c r="IC11" s="160"/>
      <c r="ID11" s="160"/>
      <c r="IE11" s="160"/>
      <c r="IF11" s="160"/>
      <c r="IG11" s="160"/>
      <c r="IH11" s="162"/>
      <c r="II11" s="162"/>
      <c r="IJ11" s="162"/>
      <c r="IK11" s="162"/>
      <c r="IL11" s="162"/>
      <c r="IM11" s="162"/>
      <c r="IN11" s="162"/>
      <c r="IO11" s="160"/>
      <c r="IP11" s="160"/>
      <c r="IQ11" s="160"/>
      <c r="IR11" s="160"/>
      <c r="IS11" s="160"/>
      <c r="IT11" s="160"/>
      <c r="IU11" s="160"/>
      <c r="IV11" s="162"/>
      <c r="IW11" s="162"/>
      <c r="IX11" s="162"/>
      <c r="IY11" s="162"/>
      <c r="IZ11" s="162"/>
      <c r="JA11" s="162"/>
      <c r="JB11" s="162"/>
      <c r="JC11" s="160"/>
      <c r="JD11" s="165"/>
      <c r="JE11" s="166"/>
      <c r="JF11" s="160"/>
      <c r="JG11" s="160"/>
      <c r="JH11" s="160"/>
      <c r="JI11" s="160"/>
      <c r="JJ11" s="162"/>
      <c r="JK11" s="162"/>
      <c r="JL11" s="162"/>
      <c r="JM11" s="162"/>
      <c r="JN11" s="162"/>
      <c r="JO11" s="162"/>
      <c r="JP11" s="162"/>
      <c r="JQ11" s="160"/>
      <c r="JR11" s="160"/>
      <c r="JS11" s="160"/>
      <c r="JT11" s="160"/>
      <c r="JU11" s="160"/>
      <c r="JV11" s="160"/>
      <c r="JW11" s="160"/>
      <c r="JX11" s="162"/>
      <c r="JY11" s="162"/>
      <c r="JZ11" s="162"/>
      <c r="KA11" s="162"/>
      <c r="KB11" s="162"/>
      <c r="KC11" s="162"/>
      <c r="KD11" s="162"/>
      <c r="KE11" s="160"/>
      <c r="KF11" s="160"/>
      <c r="KG11" s="160"/>
      <c r="KH11" s="160"/>
      <c r="KI11" s="165"/>
      <c r="KJ11" s="166"/>
      <c r="KK11" s="160"/>
      <c r="KL11" s="162"/>
      <c r="KM11" s="162"/>
      <c r="KN11" s="162"/>
      <c r="KO11" s="162"/>
      <c r="KP11" s="162"/>
      <c r="KQ11" s="162"/>
      <c r="KR11" s="162"/>
      <c r="KS11" s="160"/>
      <c r="KT11" s="160"/>
      <c r="KU11" s="160"/>
      <c r="KV11" s="160"/>
      <c r="KW11" s="160"/>
      <c r="KX11" s="160"/>
      <c r="KY11" s="160"/>
      <c r="KZ11" s="162"/>
      <c r="LA11" s="162"/>
      <c r="LB11" s="162"/>
      <c r="LC11" s="162"/>
      <c r="LD11" s="162"/>
      <c r="LE11" s="162"/>
      <c r="LF11" s="162"/>
      <c r="LG11" s="160"/>
      <c r="LH11" s="160"/>
      <c r="LI11" s="160"/>
      <c r="LJ11" s="160"/>
      <c r="LK11" s="160"/>
      <c r="LL11" s="160"/>
      <c r="LM11" s="165"/>
    </row>
    <row r="12" spans="1:325" ht="16.5" outlineLevel="1">
      <c r="A12" s="13"/>
      <c r="B12" s="157" t="s">
        <v>6</v>
      </c>
      <c r="C12" s="214" t="s">
        <v>162</v>
      </c>
      <c r="D12" s="215"/>
      <c r="E12" s="215"/>
      <c r="F12" s="215"/>
      <c r="G12" s="216"/>
      <c r="H12" s="217" t="s">
        <v>0</v>
      </c>
      <c r="I12" s="217"/>
      <c r="J12" s="218"/>
      <c r="K12" s="219">
        <f>IF(AND(NOT(ISNUMBER(Gantt!$Q12)),NOT(ISNUMBER(Gantt!$N12))),"",IF(NOT(ISNUMBER(Gantt!$Q12)),0,Gantt!$Q12/Gantt!$N12))</f>
        <v>2</v>
      </c>
      <c r="L12" s="220">
        <v>43945</v>
      </c>
      <c r="M12" s="220">
        <v>43945</v>
      </c>
      <c r="N12" s="221">
        <f t="shared" si="0"/>
        <v>1</v>
      </c>
      <c r="O12" s="220">
        <v>43946</v>
      </c>
      <c r="P12" s="220">
        <v>43947</v>
      </c>
      <c r="Q12" s="221">
        <f t="shared" si="1"/>
        <v>2</v>
      </c>
      <c r="R12" s="221" t="str">
        <f t="shared" ca="1" si="2"/>
        <v>완료</v>
      </c>
      <c r="S12" s="158"/>
      <c r="T12" s="159"/>
      <c r="U12" s="162"/>
      <c r="V12" s="162"/>
      <c r="W12" s="162"/>
      <c r="X12" s="162"/>
      <c r="Y12" s="160"/>
      <c r="Z12" s="193"/>
      <c r="AA12" s="160"/>
      <c r="AB12" s="160"/>
      <c r="AC12" s="160"/>
      <c r="AD12" s="160"/>
      <c r="AE12" s="160"/>
      <c r="AF12" s="162"/>
      <c r="AG12" s="162"/>
      <c r="AH12" s="162"/>
      <c r="AI12" s="162"/>
      <c r="AJ12" s="162"/>
      <c r="AK12" s="162"/>
      <c r="AL12" s="162"/>
      <c r="AM12" s="160"/>
      <c r="AN12" s="160"/>
      <c r="AO12" s="160"/>
      <c r="AP12" s="160"/>
      <c r="AQ12" s="160"/>
      <c r="AR12" s="160"/>
      <c r="AS12" s="161" t="s">
        <v>270</v>
      </c>
      <c r="AT12" s="162"/>
      <c r="AU12" s="162"/>
      <c r="AV12" s="162"/>
      <c r="AW12" s="162"/>
      <c r="AX12" s="163"/>
      <c r="AY12" s="164"/>
      <c r="AZ12" s="162"/>
      <c r="BA12" s="160"/>
      <c r="BB12" s="160"/>
      <c r="BC12" s="160"/>
      <c r="BD12" s="160"/>
      <c r="BE12" s="160"/>
      <c r="BF12" s="160"/>
      <c r="BG12" s="160"/>
      <c r="BH12" s="162"/>
      <c r="BI12" s="162"/>
      <c r="BJ12" s="162"/>
      <c r="BK12" s="162"/>
      <c r="BL12" s="162"/>
      <c r="BM12" s="162"/>
      <c r="BN12" s="162"/>
      <c r="BO12" s="160"/>
      <c r="BP12" s="160"/>
      <c r="BQ12" s="160"/>
      <c r="BR12" s="160"/>
      <c r="BS12" s="160"/>
      <c r="BT12" s="160"/>
      <c r="BU12" s="160"/>
      <c r="BV12" s="162"/>
      <c r="BW12" s="162"/>
      <c r="BX12" s="162"/>
      <c r="BY12" s="162"/>
      <c r="BZ12" s="162"/>
      <c r="CA12" s="162"/>
      <c r="CB12" s="162"/>
      <c r="CC12" s="165"/>
      <c r="CD12" s="166"/>
      <c r="CE12" s="160"/>
      <c r="CF12" s="160"/>
      <c r="CG12" s="160"/>
      <c r="CH12" s="160"/>
      <c r="CI12" s="160"/>
      <c r="CJ12" s="162"/>
      <c r="CK12" s="162"/>
      <c r="CL12" s="162"/>
      <c r="CM12" s="162"/>
      <c r="CN12" s="162"/>
      <c r="CO12" s="162"/>
      <c r="CP12" s="162"/>
      <c r="CQ12" s="160"/>
      <c r="CR12" s="160"/>
      <c r="CS12" s="160"/>
      <c r="CT12" s="160"/>
      <c r="CU12" s="160"/>
      <c r="CV12" s="160"/>
      <c r="CW12" s="160"/>
      <c r="CX12" s="162"/>
      <c r="CY12" s="162"/>
      <c r="CZ12" s="162"/>
      <c r="DA12" s="162"/>
      <c r="DB12" s="162"/>
      <c r="DC12" s="162"/>
      <c r="DD12" s="162"/>
      <c r="DE12" s="160"/>
      <c r="DF12" s="160"/>
      <c r="DG12" s="165"/>
      <c r="DH12" s="166"/>
      <c r="DI12" s="160"/>
      <c r="DJ12" s="160"/>
      <c r="DK12" s="160"/>
      <c r="DL12" s="162"/>
      <c r="DM12" s="162"/>
      <c r="DN12" s="162"/>
      <c r="DO12" s="162"/>
      <c r="DP12" s="162"/>
      <c r="DQ12" s="162"/>
      <c r="DR12" s="162"/>
      <c r="DS12" s="160"/>
      <c r="DT12" s="160"/>
      <c r="DU12" s="160"/>
      <c r="DV12" s="160"/>
      <c r="DW12" s="160"/>
      <c r="DX12" s="160"/>
      <c r="DY12" s="160"/>
      <c r="DZ12" s="162"/>
      <c r="EA12" s="162"/>
      <c r="EB12" s="162"/>
      <c r="EC12" s="162"/>
      <c r="ED12" s="162"/>
      <c r="EE12" s="162"/>
      <c r="EF12" s="162"/>
      <c r="EG12" s="160"/>
      <c r="EH12" s="160"/>
      <c r="EI12" s="160"/>
      <c r="EJ12" s="160"/>
      <c r="EK12" s="160"/>
      <c r="EL12" s="165"/>
      <c r="EM12" s="166"/>
      <c r="EN12" s="162"/>
      <c r="EO12" s="162"/>
      <c r="EP12" s="162"/>
      <c r="EQ12" s="162"/>
      <c r="ER12" s="162"/>
      <c r="ES12" s="162"/>
      <c r="ET12" s="162"/>
      <c r="EU12" s="160"/>
      <c r="EV12" s="160"/>
      <c r="EW12" s="160"/>
      <c r="EX12" s="160"/>
      <c r="EY12" s="160"/>
      <c r="EZ12" s="160"/>
      <c r="FA12" s="160"/>
      <c r="FB12" s="162"/>
      <c r="FC12" s="162"/>
      <c r="FD12" s="162"/>
      <c r="FE12" s="162"/>
      <c r="FF12" s="162"/>
      <c r="FG12" s="162"/>
      <c r="FH12" s="162"/>
      <c r="FI12" s="160"/>
      <c r="FJ12" s="160"/>
      <c r="FK12" s="160"/>
      <c r="FL12" s="160"/>
      <c r="FM12" s="160"/>
      <c r="FN12" s="160"/>
      <c r="FO12" s="160"/>
      <c r="FP12" s="162"/>
      <c r="FQ12" s="163"/>
      <c r="FR12" s="164"/>
      <c r="FS12" s="162"/>
      <c r="FT12" s="162"/>
      <c r="FU12" s="162"/>
      <c r="FV12" s="162"/>
      <c r="FW12" s="160"/>
      <c r="FX12" s="160"/>
      <c r="FY12" s="160"/>
      <c r="FZ12" s="160"/>
      <c r="GA12" s="160"/>
      <c r="GB12" s="160"/>
      <c r="GC12" s="160"/>
      <c r="GD12" s="162"/>
      <c r="GE12" s="162"/>
      <c r="GF12" s="162"/>
      <c r="GG12" s="162"/>
      <c r="GH12" s="162"/>
      <c r="GI12" s="162"/>
      <c r="GJ12" s="162"/>
      <c r="GK12" s="160"/>
      <c r="GL12" s="160"/>
      <c r="GM12" s="160"/>
      <c r="GN12" s="160"/>
      <c r="GO12" s="160"/>
      <c r="GP12" s="160"/>
      <c r="GQ12" s="160"/>
      <c r="GR12" s="162"/>
      <c r="GS12" s="162"/>
      <c r="GT12" s="162"/>
      <c r="GU12" s="163"/>
      <c r="GV12" s="164"/>
      <c r="GW12" s="162"/>
      <c r="GX12" s="162"/>
      <c r="GY12" s="160"/>
      <c r="GZ12" s="160"/>
      <c r="HA12" s="160"/>
      <c r="HB12" s="160"/>
      <c r="HC12" s="160"/>
      <c r="HD12" s="160"/>
      <c r="HE12" s="160"/>
      <c r="HF12" s="162"/>
      <c r="HG12" s="162"/>
      <c r="HH12" s="162"/>
      <c r="HI12" s="162"/>
      <c r="HJ12" s="162"/>
      <c r="HK12" s="162"/>
      <c r="HL12" s="162"/>
      <c r="HM12" s="160"/>
      <c r="HN12" s="160"/>
      <c r="HO12" s="160"/>
      <c r="HP12" s="160"/>
      <c r="HQ12" s="160"/>
      <c r="HR12" s="160"/>
      <c r="HS12" s="160"/>
      <c r="HT12" s="162"/>
      <c r="HU12" s="162"/>
      <c r="HV12" s="162"/>
      <c r="HW12" s="162"/>
      <c r="HX12" s="162"/>
      <c r="HY12" s="162"/>
      <c r="HZ12" s="163"/>
      <c r="IA12" s="166"/>
      <c r="IB12" s="160"/>
      <c r="IC12" s="160"/>
      <c r="ID12" s="160"/>
      <c r="IE12" s="160"/>
      <c r="IF12" s="160"/>
      <c r="IG12" s="160"/>
      <c r="IH12" s="162"/>
      <c r="II12" s="162"/>
      <c r="IJ12" s="162"/>
      <c r="IK12" s="162"/>
      <c r="IL12" s="162"/>
      <c r="IM12" s="162"/>
      <c r="IN12" s="162"/>
      <c r="IO12" s="160"/>
      <c r="IP12" s="160"/>
      <c r="IQ12" s="160"/>
      <c r="IR12" s="160"/>
      <c r="IS12" s="160"/>
      <c r="IT12" s="160"/>
      <c r="IU12" s="160"/>
      <c r="IV12" s="162"/>
      <c r="IW12" s="162"/>
      <c r="IX12" s="162"/>
      <c r="IY12" s="162"/>
      <c r="IZ12" s="162"/>
      <c r="JA12" s="162"/>
      <c r="JB12" s="162"/>
      <c r="JC12" s="160"/>
      <c r="JD12" s="165"/>
      <c r="JE12" s="166"/>
      <c r="JF12" s="160"/>
      <c r="JG12" s="160"/>
      <c r="JH12" s="160"/>
      <c r="JI12" s="160"/>
      <c r="JJ12" s="162"/>
      <c r="JK12" s="162"/>
      <c r="JL12" s="162"/>
      <c r="JM12" s="162"/>
      <c r="JN12" s="162"/>
      <c r="JO12" s="162"/>
      <c r="JP12" s="162"/>
      <c r="JQ12" s="160"/>
      <c r="JR12" s="160"/>
      <c r="JS12" s="160"/>
      <c r="JT12" s="160"/>
      <c r="JU12" s="160"/>
      <c r="JV12" s="160"/>
      <c r="JW12" s="160"/>
      <c r="JX12" s="162"/>
      <c r="JY12" s="162"/>
      <c r="JZ12" s="162"/>
      <c r="KA12" s="162"/>
      <c r="KB12" s="162"/>
      <c r="KC12" s="162"/>
      <c r="KD12" s="162"/>
      <c r="KE12" s="160"/>
      <c r="KF12" s="160"/>
      <c r="KG12" s="160"/>
      <c r="KH12" s="160"/>
      <c r="KI12" s="165"/>
      <c r="KJ12" s="166"/>
      <c r="KK12" s="160"/>
      <c r="KL12" s="162"/>
      <c r="KM12" s="162"/>
      <c r="KN12" s="162"/>
      <c r="KO12" s="162"/>
      <c r="KP12" s="162"/>
      <c r="KQ12" s="162"/>
      <c r="KR12" s="162"/>
      <c r="KS12" s="160"/>
      <c r="KT12" s="160"/>
      <c r="KU12" s="160"/>
      <c r="KV12" s="160"/>
      <c r="KW12" s="160"/>
      <c r="KX12" s="160"/>
      <c r="KY12" s="160"/>
      <c r="KZ12" s="162"/>
      <c r="LA12" s="162"/>
      <c r="LB12" s="162"/>
      <c r="LC12" s="162"/>
      <c r="LD12" s="162"/>
      <c r="LE12" s="162"/>
      <c r="LF12" s="162"/>
      <c r="LG12" s="160"/>
      <c r="LH12" s="160"/>
      <c r="LI12" s="160"/>
      <c r="LJ12" s="160"/>
      <c r="LK12" s="160"/>
      <c r="LL12" s="160"/>
      <c r="LM12" s="165"/>
    </row>
    <row r="13" spans="1:325" ht="16.5">
      <c r="A13" s="85"/>
      <c r="B13" s="184" t="s">
        <v>10</v>
      </c>
      <c r="C13" s="207" t="s">
        <v>330</v>
      </c>
      <c r="D13" s="208"/>
      <c r="E13" s="208"/>
      <c r="F13" s="208"/>
      <c r="G13" s="209" t="s">
        <v>4</v>
      </c>
      <c r="H13" s="210" t="s">
        <v>0</v>
      </c>
      <c r="I13" s="210"/>
      <c r="J13" s="209" t="s">
        <v>64</v>
      </c>
      <c r="K13" s="211">
        <f>IF(AND(NOT(ISNUMBER(Gantt!$Q13)),NOT(ISNUMBER(Gantt!$N13))),"",IF(NOT(ISNUMBER(Gantt!$Q13)),0,Gantt!$Q13/Gantt!$N13))</f>
        <v>0.8</v>
      </c>
      <c r="L13" s="212">
        <v>43946</v>
      </c>
      <c r="M13" s="212">
        <v>43950</v>
      </c>
      <c r="N13" s="213">
        <f t="shared" si="0"/>
        <v>5</v>
      </c>
      <c r="O13" s="212">
        <v>43947</v>
      </c>
      <c r="P13" s="212">
        <v>43950</v>
      </c>
      <c r="Q13" s="213">
        <f t="shared" si="1"/>
        <v>4</v>
      </c>
      <c r="R13" s="213" t="str">
        <f t="shared" ca="1" si="2"/>
        <v>완료</v>
      </c>
      <c r="S13" s="185"/>
      <c r="T13" s="176"/>
      <c r="U13" s="178"/>
      <c r="V13" s="178"/>
      <c r="W13" s="178"/>
      <c r="X13" s="178"/>
      <c r="Y13" s="177"/>
      <c r="Z13" s="177"/>
      <c r="AA13" s="177"/>
      <c r="AB13" s="177"/>
      <c r="AC13" s="177"/>
      <c r="AD13" s="177"/>
      <c r="AE13" s="196"/>
      <c r="AF13" s="178"/>
      <c r="AG13" s="178"/>
      <c r="AH13" s="178"/>
      <c r="AI13" s="178"/>
      <c r="AJ13" s="178"/>
      <c r="AK13" s="178"/>
      <c r="AL13" s="178"/>
      <c r="AM13" s="177"/>
      <c r="AN13" s="177"/>
      <c r="AO13" s="177"/>
      <c r="AP13" s="177"/>
      <c r="AQ13" s="177"/>
      <c r="AR13" s="177"/>
      <c r="AS13" s="177"/>
      <c r="AT13" s="178"/>
      <c r="AU13" s="178"/>
      <c r="AV13" s="178"/>
      <c r="AW13" s="178"/>
      <c r="AX13" s="187" t="s">
        <v>271</v>
      </c>
      <c r="AY13" s="180"/>
      <c r="AZ13" s="178"/>
      <c r="BA13" s="177"/>
      <c r="BB13" s="177"/>
      <c r="BC13" s="177"/>
      <c r="BD13" s="177"/>
      <c r="BE13" s="177"/>
      <c r="BF13" s="177"/>
      <c r="BG13" s="177"/>
      <c r="BH13" s="178"/>
      <c r="BI13" s="178"/>
      <c r="BJ13" s="178"/>
      <c r="BK13" s="178"/>
      <c r="BL13" s="178"/>
      <c r="BM13" s="178"/>
      <c r="BN13" s="178"/>
      <c r="BO13" s="177"/>
      <c r="BP13" s="177"/>
      <c r="BQ13" s="177"/>
      <c r="BR13" s="177"/>
      <c r="BS13" s="177"/>
      <c r="BT13" s="177"/>
      <c r="BU13" s="177"/>
      <c r="BV13" s="178"/>
      <c r="BW13" s="178"/>
      <c r="BX13" s="178"/>
      <c r="BY13" s="178"/>
      <c r="BZ13" s="178"/>
      <c r="CA13" s="178"/>
      <c r="CB13" s="178"/>
      <c r="CC13" s="181"/>
      <c r="CD13" s="182"/>
      <c r="CE13" s="177"/>
      <c r="CF13" s="177"/>
      <c r="CG13" s="177"/>
      <c r="CH13" s="177"/>
      <c r="CI13" s="177"/>
      <c r="CJ13" s="178"/>
      <c r="CK13" s="178"/>
      <c r="CL13" s="178"/>
      <c r="CM13" s="178"/>
      <c r="CN13" s="178"/>
      <c r="CO13" s="178"/>
      <c r="CP13" s="178"/>
      <c r="CQ13" s="177"/>
      <c r="CR13" s="177"/>
      <c r="CS13" s="177"/>
      <c r="CT13" s="177"/>
      <c r="CU13" s="177"/>
      <c r="CV13" s="177"/>
      <c r="CW13" s="177"/>
      <c r="CX13" s="178"/>
      <c r="CY13" s="178"/>
      <c r="CZ13" s="178"/>
      <c r="DA13" s="178"/>
      <c r="DB13" s="178"/>
      <c r="DC13" s="178"/>
      <c r="DD13" s="178"/>
      <c r="DE13" s="177"/>
      <c r="DF13" s="177"/>
      <c r="DG13" s="181"/>
      <c r="DH13" s="182"/>
      <c r="DI13" s="177"/>
      <c r="DJ13" s="177"/>
      <c r="DK13" s="177"/>
      <c r="DL13" s="178"/>
      <c r="DM13" s="178"/>
      <c r="DN13" s="178"/>
      <c r="DO13" s="178"/>
      <c r="DP13" s="178"/>
      <c r="DQ13" s="178"/>
      <c r="DR13" s="178"/>
      <c r="DS13" s="177"/>
      <c r="DT13" s="177"/>
      <c r="DU13" s="177"/>
      <c r="DV13" s="177"/>
      <c r="DW13" s="177"/>
      <c r="DX13" s="177"/>
      <c r="DY13" s="177"/>
      <c r="DZ13" s="178"/>
      <c r="EA13" s="178"/>
      <c r="EB13" s="178"/>
      <c r="EC13" s="178"/>
      <c r="ED13" s="178"/>
      <c r="EE13" s="178"/>
      <c r="EF13" s="178"/>
      <c r="EG13" s="177"/>
      <c r="EH13" s="177"/>
      <c r="EI13" s="177"/>
      <c r="EJ13" s="177"/>
      <c r="EK13" s="177"/>
      <c r="EL13" s="181"/>
      <c r="EM13" s="182"/>
      <c r="EN13" s="178"/>
      <c r="EO13" s="178"/>
      <c r="EP13" s="178"/>
      <c r="EQ13" s="178"/>
      <c r="ER13" s="178"/>
      <c r="ES13" s="178"/>
      <c r="ET13" s="178"/>
      <c r="EU13" s="177"/>
      <c r="EV13" s="177"/>
      <c r="EW13" s="177"/>
      <c r="EX13" s="177"/>
      <c r="EY13" s="177"/>
      <c r="EZ13" s="177"/>
      <c r="FA13" s="177"/>
      <c r="FB13" s="178"/>
      <c r="FC13" s="178"/>
      <c r="FD13" s="178"/>
      <c r="FE13" s="178"/>
      <c r="FF13" s="178"/>
      <c r="FG13" s="178"/>
      <c r="FH13" s="178"/>
      <c r="FI13" s="177"/>
      <c r="FJ13" s="177"/>
      <c r="FK13" s="177"/>
      <c r="FL13" s="177"/>
      <c r="FM13" s="177"/>
      <c r="FN13" s="177"/>
      <c r="FO13" s="177"/>
      <c r="FP13" s="178"/>
      <c r="FQ13" s="179"/>
      <c r="FR13" s="180"/>
      <c r="FS13" s="178"/>
      <c r="FT13" s="178"/>
      <c r="FU13" s="178"/>
      <c r="FV13" s="178"/>
      <c r="FW13" s="177"/>
      <c r="FX13" s="177"/>
      <c r="FY13" s="177"/>
      <c r="FZ13" s="177"/>
      <c r="GA13" s="177"/>
      <c r="GB13" s="177"/>
      <c r="GC13" s="177"/>
      <c r="GD13" s="178"/>
      <c r="GE13" s="178"/>
      <c r="GF13" s="178"/>
      <c r="GG13" s="178"/>
      <c r="GH13" s="178"/>
      <c r="GI13" s="178"/>
      <c r="GJ13" s="178"/>
      <c r="GK13" s="177"/>
      <c r="GL13" s="177"/>
      <c r="GM13" s="177"/>
      <c r="GN13" s="177"/>
      <c r="GO13" s="177"/>
      <c r="GP13" s="177"/>
      <c r="GQ13" s="177"/>
      <c r="GR13" s="178"/>
      <c r="GS13" s="178"/>
      <c r="GT13" s="178"/>
      <c r="GU13" s="179"/>
      <c r="GV13" s="180"/>
      <c r="GW13" s="178"/>
      <c r="GX13" s="178"/>
      <c r="GY13" s="177"/>
      <c r="GZ13" s="177"/>
      <c r="HA13" s="177"/>
      <c r="HB13" s="177"/>
      <c r="HC13" s="177"/>
      <c r="HD13" s="177"/>
      <c r="HE13" s="177"/>
      <c r="HF13" s="178"/>
      <c r="HG13" s="178"/>
      <c r="HH13" s="178"/>
      <c r="HI13" s="178"/>
      <c r="HJ13" s="178"/>
      <c r="HK13" s="178"/>
      <c r="HL13" s="178"/>
      <c r="HM13" s="177"/>
      <c r="HN13" s="177"/>
      <c r="HO13" s="177"/>
      <c r="HP13" s="177"/>
      <c r="HQ13" s="177"/>
      <c r="HR13" s="177"/>
      <c r="HS13" s="177"/>
      <c r="HT13" s="178"/>
      <c r="HU13" s="178"/>
      <c r="HV13" s="178"/>
      <c r="HW13" s="178"/>
      <c r="HX13" s="178"/>
      <c r="HY13" s="178"/>
      <c r="HZ13" s="179"/>
      <c r="IA13" s="182"/>
      <c r="IB13" s="177"/>
      <c r="IC13" s="177"/>
      <c r="ID13" s="177"/>
      <c r="IE13" s="177"/>
      <c r="IF13" s="177"/>
      <c r="IG13" s="177"/>
      <c r="IH13" s="178"/>
      <c r="II13" s="178"/>
      <c r="IJ13" s="178"/>
      <c r="IK13" s="178"/>
      <c r="IL13" s="178"/>
      <c r="IM13" s="178"/>
      <c r="IN13" s="178"/>
      <c r="IO13" s="177"/>
      <c r="IP13" s="177"/>
      <c r="IQ13" s="177"/>
      <c r="IR13" s="177"/>
      <c r="IS13" s="177"/>
      <c r="IT13" s="177"/>
      <c r="IU13" s="177"/>
      <c r="IV13" s="178"/>
      <c r="IW13" s="178"/>
      <c r="IX13" s="178"/>
      <c r="IY13" s="178"/>
      <c r="IZ13" s="178"/>
      <c r="JA13" s="178"/>
      <c r="JB13" s="178"/>
      <c r="JC13" s="177"/>
      <c r="JD13" s="181"/>
      <c r="JE13" s="182"/>
      <c r="JF13" s="177"/>
      <c r="JG13" s="177"/>
      <c r="JH13" s="177"/>
      <c r="JI13" s="177"/>
      <c r="JJ13" s="178"/>
      <c r="JK13" s="178"/>
      <c r="JL13" s="178"/>
      <c r="JM13" s="178"/>
      <c r="JN13" s="178"/>
      <c r="JO13" s="178"/>
      <c r="JP13" s="178"/>
      <c r="JQ13" s="177"/>
      <c r="JR13" s="177"/>
      <c r="JS13" s="177"/>
      <c r="JT13" s="177"/>
      <c r="JU13" s="177"/>
      <c r="JV13" s="177"/>
      <c r="JW13" s="177"/>
      <c r="JX13" s="178"/>
      <c r="JY13" s="178"/>
      <c r="JZ13" s="178"/>
      <c r="KA13" s="178"/>
      <c r="KB13" s="178"/>
      <c r="KC13" s="178"/>
      <c r="KD13" s="178"/>
      <c r="KE13" s="177"/>
      <c r="KF13" s="177"/>
      <c r="KG13" s="177"/>
      <c r="KH13" s="177"/>
      <c r="KI13" s="181"/>
      <c r="KJ13" s="182"/>
      <c r="KK13" s="177"/>
      <c r="KL13" s="178"/>
      <c r="KM13" s="178"/>
      <c r="KN13" s="178"/>
      <c r="KO13" s="178"/>
      <c r="KP13" s="178"/>
      <c r="KQ13" s="178"/>
      <c r="KR13" s="178"/>
      <c r="KS13" s="177"/>
      <c r="KT13" s="177"/>
      <c r="KU13" s="177"/>
      <c r="KV13" s="177"/>
      <c r="KW13" s="177"/>
      <c r="KX13" s="177"/>
      <c r="KY13" s="177"/>
      <c r="KZ13" s="178"/>
      <c r="LA13" s="178"/>
      <c r="LB13" s="178"/>
      <c r="LC13" s="178"/>
      <c r="LD13" s="178"/>
      <c r="LE13" s="178"/>
      <c r="LF13" s="178"/>
      <c r="LG13" s="177"/>
      <c r="LH13" s="177"/>
      <c r="LI13" s="177"/>
      <c r="LJ13" s="177"/>
      <c r="LK13" s="177"/>
      <c r="LL13" s="177"/>
      <c r="LM13" s="181"/>
    </row>
    <row r="14" spans="1:325" ht="16.5" outlineLevel="1">
      <c r="A14" s="13"/>
      <c r="B14" s="157" t="s">
        <v>9</v>
      </c>
      <c r="C14" s="214" t="s">
        <v>331</v>
      </c>
      <c r="D14" s="215"/>
      <c r="E14" s="215"/>
      <c r="F14" s="215"/>
      <c r="G14" s="215"/>
      <c r="H14" s="222"/>
      <c r="I14" s="222"/>
      <c r="J14" s="215"/>
      <c r="K14" s="223">
        <f>IF(AND(NOT(ISNUMBER(Gantt!$Q14)),NOT(ISNUMBER(Gantt!$N14))),"",IF(NOT(ISNUMBER(Gantt!$Q14)),0,Gantt!$Q14/Gantt!$N14))</f>
        <v>1</v>
      </c>
      <c r="L14" s="224">
        <v>43947</v>
      </c>
      <c r="M14" s="224">
        <v>43948</v>
      </c>
      <c r="N14" s="225">
        <f t="shared" si="0"/>
        <v>2</v>
      </c>
      <c r="O14" s="224">
        <v>43946</v>
      </c>
      <c r="P14" s="224">
        <v>43947</v>
      </c>
      <c r="Q14" s="225">
        <f t="shared" si="1"/>
        <v>2</v>
      </c>
      <c r="R14" s="221" t="str">
        <f t="shared" ca="1" si="2"/>
        <v>완료</v>
      </c>
      <c r="S14" s="167"/>
      <c r="T14" s="159"/>
      <c r="U14" s="162"/>
      <c r="V14" s="162"/>
      <c r="W14" s="162"/>
      <c r="X14" s="162"/>
      <c r="Y14" s="160"/>
      <c r="Z14" s="160"/>
      <c r="AA14" s="160"/>
      <c r="AB14" s="160"/>
      <c r="AC14" s="193"/>
      <c r="AD14" s="160"/>
      <c r="AE14" s="160"/>
      <c r="AF14" s="162"/>
      <c r="AG14" s="162"/>
      <c r="AH14" s="162"/>
      <c r="AI14" s="162"/>
      <c r="AJ14" s="162"/>
      <c r="AK14" s="162"/>
      <c r="AL14" s="162"/>
      <c r="AM14" s="160"/>
      <c r="AN14" s="160"/>
      <c r="AO14" s="160"/>
      <c r="AP14" s="160"/>
      <c r="AQ14" s="160"/>
      <c r="AR14" s="160"/>
      <c r="AS14" s="160"/>
      <c r="AT14" s="162"/>
      <c r="AU14" s="162"/>
      <c r="AV14" s="168" t="s">
        <v>272</v>
      </c>
      <c r="AW14" s="162"/>
      <c r="AX14" s="163"/>
      <c r="AY14" s="164"/>
      <c r="AZ14" s="162"/>
      <c r="BA14" s="160"/>
      <c r="BB14" s="160"/>
      <c r="BC14" s="160"/>
      <c r="BD14" s="160"/>
      <c r="BE14" s="160"/>
      <c r="BF14" s="160"/>
      <c r="BG14" s="160"/>
      <c r="BH14" s="162"/>
      <c r="BI14" s="162"/>
      <c r="BJ14" s="162"/>
      <c r="BK14" s="162"/>
      <c r="BL14" s="162"/>
      <c r="BM14" s="162"/>
      <c r="BN14" s="162"/>
      <c r="BO14" s="160"/>
      <c r="BP14" s="160"/>
      <c r="BQ14" s="160"/>
      <c r="BR14" s="160"/>
      <c r="BS14" s="160"/>
      <c r="BT14" s="160"/>
      <c r="BU14" s="160"/>
      <c r="BV14" s="162"/>
      <c r="BW14" s="162"/>
      <c r="BX14" s="162"/>
      <c r="BY14" s="162"/>
      <c r="BZ14" s="162"/>
      <c r="CA14" s="162"/>
      <c r="CB14" s="162"/>
      <c r="CC14" s="165"/>
      <c r="CD14" s="166"/>
      <c r="CE14" s="160"/>
      <c r="CF14" s="160"/>
      <c r="CG14" s="160"/>
      <c r="CH14" s="160"/>
      <c r="CI14" s="160"/>
      <c r="CJ14" s="162"/>
      <c r="CK14" s="162"/>
      <c r="CL14" s="162"/>
      <c r="CM14" s="162"/>
      <c r="CN14" s="162"/>
      <c r="CO14" s="162"/>
      <c r="CP14" s="162"/>
      <c r="CQ14" s="160"/>
      <c r="CR14" s="160"/>
      <c r="CS14" s="160"/>
      <c r="CT14" s="160"/>
      <c r="CU14" s="160"/>
      <c r="CV14" s="160"/>
      <c r="CW14" s="160"/>
      <c r="CX14" s="162"/>
      <c r="CY14" s="162"/>
      <c r="CZ14" s="162"/>
      <c r="DA14" s="162"/>
      <c r="DB14" s="162"/>
      <c r="DC14" s="162"/>
      <c r="DD14" s="162"/>
      <c r="DE14" s="160"/>
      <c r="DF14" s="160"/>
      <c r="DG14" s="165"/>
      <c r="DH14" s="166"/>
      <c r="DI14" s="160"/>
      <c r="DJ14" s="160"/>
      <c r="DK14" s="160"/>
      <c r="DL14" s="162"/>
      <c r="DM14" s="162"/>
      <c r="DN14" s="162"/>
      <c r="DO14" s="162"/>
      <c r="DP14" s="162"/>
      <c r="DQ14" s="162"/>
      <c r="DR14" s="162"/>
      <c r="DS14" s="160"/>
      <c r="DT14" s="160"/>
      <c r="DU14" s="160"/>
      <c r="DV14" s="160"/>
      <c r="DW14" s="160"/>
      <c r="DX14" s="160"/>
      <c r="DY14" s="160"/>
      <c r="DZ14" s="162"/>
      <c r="EA14" s="162"/>
      <c r="EB14" s="162"/>
      <c r="EC14" s="162"/>
      <c r="ED14" s="162"/>
      <c r="EE14" s="162"/>
      <c r="EF14" s="162"/>
      <c r="EG14" s="160"/>
      <c r="EH14" s="160"/>
      <c r="EI14" s="160"/>
      <c r="EJ14" s="160"/>
      <c r="EK14" s="160"/>
      <c r="EL14" s="165"/>
      <c r="EM14" s="166"/>
      <c r="EN14" s="162"/>
      <c r="EO14" s="162"/>
      <c r="EP14" s="162"/>
      <c r="EQ14" s="162"/>
      <c r="ER14" s="162"/>
      <c r="ES14" s="162"/>
      <c r="ET14" s="162"/>
      <c r="EU14" s="160"/>
      <c r="EV14" s="160"/>
      <c r="EW14" s="160"/>
      <c r="EX14" s="160"/>
      <c r="EY14" s="160"/>
      <c r="EZ14" s="160"/>
      <c r="FA14" s="160"/>
      <c r="FB14" s="162"/>
      <c r="FC14" s="162"/>
      <c r="FD14" s="162"/>
      <c r="FE14" s="162"/>
      <c r="FF14" s="162"/>
      <c r="FG14" s="162"/>
      <c r="FH14" s="162"/>
      <c r="FI14" s="160"/>
      <c r="FJ14" s="160"/>
      <c r="FK14" s="160"/>
      <c r="FL14" s="160"/>
      <c r="FM14" s="160"/>
      <c r="FN14" s="160"/>
      <c r="FO14" s="160"/>
      <c r="FP14" s="162"/>
      <c r="FQ14" s="163"/>
      <c r="FR14" s="164"/>
      <c r="FS14" s="162"/>
      <c r="FT14" s="162"/>
      <c r="FU14" s="162"/>
      <c r="FV14" s="162"/>
      <c r="FW14" s="160"/>
      <c r="FX14" s="160"/>
      <c r="FY14" s="160"/>
      <c r="FZ14" s="160"/>
      <c r="GA14" s="160"/>
      <c r="GB14" s="160"/>
      <c r="GC14" s="160"/>
      <c r="GD14" s="162"/>
      <c r="GE14" s="162"/>
      <c r="GF14" s="162"/>
      <c r="GG14" s="162"/>
      <c r="GH14" s="162"/>
      <c r="GI14" s="162"/>
      <c r="GJ14" s="162"/>
      <c r="GK14" s="160"/>
      <c r="GL14" s="160"/>
      <c r="GM14" s="160"/>
      <c r="GN14" s="160"/>
      <c r="GO14" s="160"/>
      <c r="GP14" s="160"/>
      <c r="GQ14" s="160"/>
      <c r="GR14" s="162"/>
      <c r="GS14" s="162"/>
      <c r="GT14" s="162"/>
      <c r="GU14" s="163"/>
      <c r="GV14" s="164"/>
      <c r="GW14" s="162"/>
      <c r="GX14" s="162"/>
      <c r="GY14" s="160"/>
      <c r="GZ14" s="160"/>
      <c r="HA14" s="160"/>
      <c r="HB14" s="160"/>
      <c r="HC14" s="160"/>
      <c r="HD14" s="160"/>
      <c r="HE14" s="160"/>
      <c r="HF14" s="162"/>
      <c r="HG14" s="162"/>
      <c r="HH14" s="162"/>
      <c r="HI14" s="162"/>
      <c r="HJ14" s="162"/>
      <c r="HK14" s="162"/>
      <c r="HL14" s="162"/>
      <c r="HM14" s="160"/>
      <c r="HN14" s="160"/>
      <c r="HO14" s="160"/>
      <c r="HP14" s="160"/>
      <c r="HQ14" s="160"/>
      <c r="HR14" s="160"/>
      <c r="HS14" s="160"/>
      <c r="HT14" s="162"/>
      <c r="HU14" s="162"/>
      <c r="HV14" s="162"/>
      <c r="HW14" s="162"/>
      <c r="HX14" s="162"/>
      <c r="HY14" s="162"/>
      <c r="HZ14" s="163"/>
      <c r="IA14" s="166"/>
      <c r="IB14" s="160"/>
      <c r="IC14" s="160"/>
      <c r="ID14" s="160"/>
      <c r="IE14" s="160"/>
      <c r="IF14" s="160"/>
      <c r="IG14" s="160"/>
      <c r="IH14" s="162"/>
      <c r="II14" s="162"/>
      <c r="IJ14" s="162"/>
      <c r="IK14" s="162"/>
      <c r="IL14" s="162"/>
      <c r="IM14" s="162"/>
      <c r="IN14" s="162"/>
      <c r="IO14" s="160"/>
      <c r="IP14" s="160"/>
      <c r="IQ14" s="160"/>
      <c r="IR14" s="160"/>
      <c r="IS14" s="160"/>
      <c r="IT14" s="160"/>
      <c r="IU14" s="160"/>
      <c r="IV14" s="162"/>
      <c r="IW14" s="162"/>
      <c r="IX14" s="162"/>
      <c r="IY14" s="162"/>
      <c r="IZ14" s="162"/>
      <c r="JA14" s="162"/>
      <c r="JB14" s="162"/>
      <c r="JC14" s="160"/>
      <c r="JD14" s="165"/>
      <c r="JE14" s="166"/>
      <c r="JF14" s="160"/>
      <c r="JG14" s="160"/>
      <c r="JH14" s="160"/>
      <c r="JI14" s="160"/>
      <c r="JJ14" s="162"/>
      <c r="JK14" s="162"/>
      <c r="JL14" s="162"/>
      <c r="JM14" s="162"/>
      <c r="JN14" s="162"/>
      <c r="JO14" s="162"/>
      <c r="JP14" s="162"/>
      <c r="JQ14" s="160"/>
      <c r="JR14" s="160"/>
      <c r="JS14" s="160"/>
      <c r="JT14" s="160"/>
      <c r="JU14" s="160"/>
      <c r="JV14" s="160"/>
      <c r="JW14" s="160"/>
      <c r="JX14" s="162"/>
      <c r="JY14" s="162"/>
      <c r="JZ14" s="162"/>
      <c r="KA14" s="162"/>
      <c r="KB14" s="162"/>
      <c r="KC14" s="162"/>
      <c r="KD14" s="162"/>
      <c r="KE14" s="160"/>
      <c r="KF14" s="160"/>
      <c r="KG14" s="160"/>
      <c r="KH14" s="160"/>
      <c r="KI14" s="165"/>
      <c r="KJ14" s="166"/>
      <c r="KK14" s="160"/>
      <c r="KL14" s="162"/>
      <c r="KM14" s="162"/>
      <c r="KN14" s="162"/>
      <c r="KO14" s="162"/>
      <c r="KP14" s="162"/>
      <c r="KQ14" s="162"/>
      <c r="KR14" s="162"/>
      <c r="KS14" s="160"/>
      <c r="KT14" s="160"/>
      <c r="KU14" s="160"/>
      <c r="KV14" s="160"/>
      <c r="KW14" s="160"/>
      <c r="KX14" s="160"/>
      <c r="KY14" s="160"/>
      <c r="KZ14" s="162"/>
      <c r="LA14" s="162"/>
      <c r="LB14" s="162"/>
      <c r="LC14" s="162"/>
      <c r="LD14" s="162"/>
      <c r="LE14" s="162"/>
      <c r="LF14" s="162"/>
      <c r="LG14" s="160"/>
      <c r="LH14" s="160"/>
      <c r="LI14" s="160"/>
      <c r="LJ14" s="160"/>
      <c r="LK14" s="160"/>
      <c r="LL14" s="160"/>
      <c r="LM14" s="165"/>
    </row>
    <row r="15" spans="1:325" ht="16.5" outlineLevel="1">
      <c r="A15" s="86"/>
      <c r="B15" s="169" t="s">
        <v>11</v>
      </c>
      <c r="C15" s="226" t="s">
        <v>332</v>
      </c>
      <c r="D15" s="227"/>
      <c r="E15" s="227"/>
      <c r="F15" s="227"/>
      <c r="G15" s="227"/>
      <c r="H15" s="228" t="s">
        <v>0</v>
      </c>
      <c r="I15" s="228"/>
      <c r="J15" s="227"/>
      <c r="K15" s="229">
        <f>IF(AND(NOT(ISNUMBER(Gantt!$Q15)),NOT(ISNUMBER(Gantt!$N15))),"",IF(NOT(ISNUMBER(Gantt!$Q15)),0,Gantt!$Q15/Gantt!$N15))</f>
        <v>0.7142857142857143</v>
      </c>
      <c r="L15" s="230">
        <v>43946</v>
      </c>
      <c r="M15" s="230">
        <v>43952</v>
      </c>
      <c r="N15" s="231">
        <f t="shared" si="0"/>
        <v>7</v>
      </c>
      <c r="O15" s="230">
        <v>43947</v>
      </c>
      <c r="P15" s="230">
        <v>43951</v>
      </c>
      <c r="Q15" s="231">
        <f t="shared" si="1"/>
        <v>5</v>
      </c>
      <c r="R15" s="231" t="str">
        <f t="shared" ca="1" si="2"/>
        <v>완료</v>
      </c>
      <c r="S15" s="188"/>
      <c r="T15" s="159"/>
      <c r="U15" s="162"/>
      <c r="V15" s="162"/>
      <c r="W15" s="162"/>
      <c r="X15" s="162"/>
      <c r="Y15" s="160"/>
      <c r="Z15" s="160"/>
      <c r="AA15" s="160"/>
      <c r="AB15" s="160"/>
      <c r="AC15" s="160"/>
      <c r="AD15" s="160"/>
      <c r="AE15" s="160"/>
      <c r="AF15" s="162"/>
      <c r="AG15" s="194"/>
      <c r="AH15" s="162"/>
      <c r="AI15" s="162"/>
      <c r="AJ15" s="162"/>
      <c r="AK15" s="162"/>
      <c r="AL15" s="162"/>
      <c r="AM15" s="160"/>
      <c r="AN15" s="160"/>
      <c r="AO15" s="160"/>
      <c r="AP15" s="160"/>
      <c r="AQ15" s="160"/>
      <c r="AR15" s="160"/>
      <c r="AS15" s="160"/>
      <c r="AT15" s="162"/>
      <c r="AU15" s="162"/>
      <c r="AV15" s="162"/>
      <c r="AW15" s="162"/>
      <c r="AX15" s="163"/>
      <c r="AY15" s="164"/>
      <c r="AZ15" s="168" t="s">
        <v>273</v>
      </c>
      <c r="BA15" s="160"/>
      <c r="BB15" s="160"/>
      <c r="BC15" s="160"/>
      <c r="BD15" s="160"/>
      <c r="BE15" s="160"/>
      <c r="BF15" s="160"/>
      <c r="BG15" s="160"/>
      <c r="BH15" s="162"/>
      <c r="BI15" s="162"/>
      <c r="BJ15" s="162"/>
      <c r="BK15" s="162"/>
      <c r="BL15" s="162"/>
      <c r="BM15" s="162"/>
      <c r="BN15" s="162"/>
      <c r="BO15" s="160"/>
      <c r="BP15" s="160"/>
      <c r="BQ15" s="160"/>
      <c r="BR15" s="160"/>
      <c r="BS15" s="160"/>
      <c r="BT15" s="160"/>
      <c r="BU15" s="160"/>
      <c r="BV15" s="162"/>
      <c r="BW15" s="162"/>
      <c r="BX15" s="162"/>
      <c r="BY15" s="162"/>
      <c r="BZ15" s="162"/>
      <c r="CA15" s="162"/>
      <c r="CB15" s="162"/>
      <c r="CC15" s="165"/>
      <c r="CD15" s="166"/>
      <c r="CE15" s="160"/>
      <c r="CF15" s="160"/>
      <c r="CG15" s="160"/>
      <c r="CH15" s="160"/>
      <c r="CI15" s="160"/>
      <c r="CJ15" s="162"/>
      <c r="CK15" s="162"/>
      <c r="CL15" s="162"/>
      <c r="CM15" s="162"/>
      <c r="CN15" s="162"/>
      <c r="CO15" s="162"/>
      <c r="CP15" s="162"/>
      <c r="CQ15" s="160"/>
      <c r="CR15" s="160"/>
      <c r="CS15" s="160"/>
      <c r="CT15" s="160"/>
      <c r="CU15" s="160"/>
      <c r="CV15" s="160"/>
      <c r="CW15" s="160"/>
      <c r="CX15" s="162"/>
      <c r="CY15" s="162"/>
      <c r="CZ15" s="162"/>
      <c r="DA15" s="162"/>
      <c r="DB15" s="162"/>
      <c r="DC15" s="162"/>
      <c r="DD15" s="162"/>
      <c r="DE15" s="160"/>
      <c r="DF15" s="160"/>
      <c r="DG15" s="165"/>
      <c r="DH15" s="166"/>
      <c r="DI15" s="160"/>
      <c r="DJ15" s="160"/>
      <c r="DK15" s="160"/>
      <c r="DL15" s="162"/>
      <c r="DM15" s="162"/>
      <c r="DN15" s="162"/>
      <c r="DO15" s="162"/>
      <c r="DP15" s="162"/>
      <c r="DQ15" s="162"/>
      <c r="DR15" s="162"/>
      <c r="DS15" s="160"/>
      <c r="DT15" s="160"/>
      <c r="DU15" s="160"/>
      <c r="DV15" s="160"/>
      <c r="DW15" s="160"/>
      <c r="DX15" s="160"/>
      <c r="DY15" s="160"/>
      <c r="DZ15" s="162"/>
      <c r="EA15" s="162"/>
      <c r="EB15" s="162"/>
      <c r="EC15" s="162"/>
      <c r="ED15" s="162"/>
      <c r="EE15" s="162"/>
      <c r="EF15" s="162"/>
      <c r="EG15" s="160"/>
      <c r="EH15" s="160"/>
      <c r="EI15" s="160"/>
      <c r="EJ15" s="160"/>
      <c r="EK15" s="160"/>
      <c r="EL15" s="165"/>
      <c r="EM15" s="166"/>
      <c r="EN15" s="162"/>
      <c r="EO15" s="162"/>
      <c r="EP15" s="162"/>
      <c r="EQ15" s="162"/>
      <c r="ER15" s="162"/>
      <c r="ES15" s="162"/>
      <c r="ET15" s="162"/>
      <c r="EU15" s="160"/>
      <c r="EV15" s="160"/>
      <c r="EW15" s="160"/>
      <c r="EX15" s="160"/>
      <c r="EY15" s="160"/>
      <c r="EZ15" s="160"/>
      <c r="FA15" s="160"/>
      <c r="FB15" s="162"/>
      <c r="FC15" s="162"/>
      <c r="FD15" s="162"/>
      <c r="FE15" s="162"/>
      <c r="FF15" s="162"/>
      <c r="FG15" s="162"/>
      <c r="FH15" s="162"/>
      <c r="FI15" s="160"/>
      <c r="FJ15" s="160"/>
      <c r="FK15" s="160"/>
      <c r="FL15" s="160"/>
      <c r="FM15" s="160"/>
      <c r="FN15" s="160"/>
      <c r="FO15" s="160"/>
      <c r="FP15" s="162"/>
      <c r="FQ15" s="163"/>
      <c r="FR15" s="164"/>
      <c r="FS15" s="162"/>
      <c r="FT15" s="162"/>
      <c r="FU15" s="162"/>
      <c r="FV15" s="162"/>
      <c r="FW15" s="160"/>
      <c r="FX15" s="160"/>
      <c r="FY15" s="160"/>
      <c r="FZ15" s="160"/>
      <c r="GA15" s="160"/>
      <c r="GB15" s="160"/>
      <c r="GC15" s="160"/>
      <c r="GD15" s="162"/>
      <c r="GE15" s="162"/>
      <c r="GF15" s="162"/>
      <c r="GG15" s="162"/>
      <c r="GH15" s="162"/>
      <c r="GI15" s="162"/>
      <c r="GJ15" s="162"/>
      <c r="GK15" s="160"/>
      <c r="GL15" s="160"/>
      <c r="GM15" s="160"/>
      <c r="GN15" s="160"/>
      <c r="GO15" s="160"/>
      <c r="GP15" s="160"/>
      <c r="GQ15" s="160"/>
      <c r="GR15" s="162"/>
      <c r="GS15" s="162"/>
      <c r="GT15" s="162"/>
      <c r="GU15" s="163"/>
      <c r="GV15" s="164"/>
      <c r="GW15" s="162"/>
      <c r="GX15" s="162"/>
      <c r="GY15" s="160"/>
      <c r="GZ15" s="160"/>
      <c r="HA15" s="160"/>
      <c r="HB15" s="160"/>
      <c r="HC15" s="160"/>
      <c r="HD15" s="160"/>
      <c r="HE15" s="160"/>
      <c r="HF15" s="162"/>
      <c r="HG15" s="162"/>
      <c r="HH15" s="162"/>
      <c r="HI15" s="162"/>
      <c r="HJ15" s="162"/>
      <c r="HK15" s="162"/>
      <c r="HL15" s="162"/>
      <c r="HM15" s="160"/>
      <c r="HN15" s="160"/>
      <c r="HO15" s="160"/>
      <c r="HP15" s="160"/>
      <c r="HQ15" s="160"/>
      <c r="HR15" s="160"/>
      <c r="HS15" s="160"/>
      <c r="HT15" s="162"/>
      <c r="HU15" s="162"/>
      <c r="HV15" s="162"/>
      <c r="HW15" s="162"/>
      <c r="HX15" s="162"/>
      <c r="HY15" s="162"/>
      <c r="HZ15" s="163"/>
      <c r="IA15" s="166"/>
      <c r="IB15" s="160"/>
      <c r="IC15" s="160"/>
      <c r="ID15" s="160"/>
      <c r="IE15" s="160"/>
      <c r="IF15" s="160"/>
      <c r="IG15" s="160"/>
      <c r="IH15" s="162"/>
      <c r="II15" s="162"/>
      <c r="IJ15" s="162"/>
      <c r="IK15" s="162"/>
      <c r="IL15" s="162"/>
      <c r="IM15" s="162"/>
      <c r="IN15" s="162"/>
      <c r="IO15" s="160"/>
      <c r="IP15" s="160"/>
      <c r="IQ15" s="160"/>
      <c r="IR15" s="160"/>
      <c r="IS15" s="160"/>
      <c r="IT15" s="160"/>
      <c r="IU15" s="160"/>
      <c r="IV15" s="162"/>
      <c r="IW15" s="162"/>
      <c r="IX15" s="162"/>
      <c r="IY15" s="162"/>
      <c r="IZ15" s="162"/>
      <c r="JA15" s="162"/>
      <c r="JB15" s="162"/>
      <c r="JC15" s="160"/>
      <c r="JD15" s="165"/>
      <c r="JE15" s="166"/>
      <c r="JF15" s="160"/>
      <c r="JG15" s="160"/>
      <c r="JH15" s="160"/>
      <c r="JI15" s="160"/>
      <c r="JJ15" s="162"/>
      <c r="JK15" s="162"/>
      <c r="JL15" s="162"/>
      <c r="JM15" s="162"/>
      <c r="JN15" s="162"/>
      <c r="JO15" s="162"/>
      <c r="JP15" s="162"/>
      <c r="JQ15" s="160"/>
      <c r="JR15" s="160"/>
      <c r="JS15" s="160"/>
      <c r="JT15" s="160"/>
      <c r="JU15" s="160"/>
      <c r="JV15" s="160"/>
      <c r="JW15" s="160"/>
      <c r="JX15" s="162"/>
      <c r="JY15" s="162"/>
      <c r="JZ15" s="162"/>
      <c r="KA15" s="162"/>
      <c r="KB15" s="162"/>
      <c r="KC15" s="162"/>
      <c r="KD15" s="162"/>
      <c r="KE15" s="160"/>
      <c r="KF15" s="160"/>
      <c r="KG15" s="160"/>
      <c r="KH15" s="160"/>
      <c r="KI15" s="165"/>
      <c r="KJ15" s="166"/>
      <c r="KK15" s="160"/>
      <c r="KL15" s="162"/>
      <c r="KM15" s="162"/>
      <c r="KN15" s="162"/>
      <c r="KO15" s="162"/>
      <c r="KP15" s="162"/>
      <c r="KQ15" s="162"/>
      <c r="KR15" s="162"/>
      <c r="KS15" s="160"/>
      <c r="KT15" s="160"/>
      <c r="KU15" s="160"/>
      <c r="KV15" s="160"/>
      <c r="KW15" s="160"/>
      <c r="KX15" s="160"/>
      <c r="KY15" s="160"/>
      <c r="KZ15" s="162"/>
      <c r="LA15" s="162"/>
      <c r="LB15" s="162"/>
      <c r="LC15" s="162"/>
      <c r="LD15" s="162"/>
      <c r="LE15" s="162"/>
      <c r="LF15" s="162"/>
      <c r="LG15" s="160"/>
      <c r="LH15" s="160"/>
      <c r="LI15" s="160"/>
      <c r="LJ15" s="160"/>
      <c r="LK15" s="160"/>
      <c r="LL15" s="160"/>
      <c r="LM15" s="165"/>
    </row>
    <row r="16" spans="1:325" ht="16.5" outlineLevel="2">
      <c r="A16" s="13"/>
      <c r="B16" s="157" t="s">
        <v>14</v>
      </c>
      <c r="C16" s="232" t="s">
        <v>333</v>
      </c>
      <c r="D16" s="215"/>
      <c r="E16" s="215"/>
      <c r="F16" s="215"/>
      <c r="G16" s="218"/>
      <c r="H16" s="217" t="s">
        <v>0</v>
      </c>
      <c r="I16" s="217"/>
      <c r="J16" s="218"/>
      <c r="K16" s="219">
        <f>IF(AND(NOT(ISNUMBER(Gantt!$Q16)),NOT(ISNUMBER(Gantt!$N16))),"",IF(NOT(ISNUMBER(Gantt!$Q16)),0,Gantt!$Q16/Gantt!$N16))</f>
        <v>0.6</v>
      </c>
      <c r="L16" s="220">
        <v>43951</v>
      </c>
      <c r="M16" s="220">
        <v>43955</v>
      </c>
      <c r="N16" s="221">
        <f t="shared" si="0"/>
        <v>5</v>
      </c>
      <c r="O16" s="220">
        <v>43951</v>
      </c>
      <c r="P16" s="220">
        <v>43953</v>
      </c>
      <c r="Q16" s="221">
        <f t="shared" si="1"/>
        <v>3</v>
      </c>
      <c r="R16" s="221" t="str">
        <f t="shared" ca="1" si="2"/>
        <v>완료</v>
      </c>
      <c r="S16" s="158"/>
      <c r="T16" s="159"/>
      <c r="U16" s="162"/>
      <c r="V16" s="162"/>
      <c r="W16" s="162"/>
      <c r="X16" s="162"/>
      <c r="Y16" s="160"/>
      <c r="Z16" s="160"/>
      <c r="AA16" s="160"/>
      <c r="AB16" s="160"/>
      <c r="AC16" s="160"/>
      <c r="AD16" s="160"/>
      <c r="AE16" s="160"/>
      <c r="AF16" s="162"/>
      <c r="AG16" s="162"/>
      <c r="AH16" s="162"/>
      <c r="AI16" s="162"/>
      <c r="AJ16" s="194"/>
      <c r="AK16" s="162"/>
      <c r="AL16" s="162"/>
      <c r="AM16" s="160"/>
      <c r="AN16" s="160"/>
      <c r="AO16" s="160"/>
      <c r="AP16" s="160"/>
      <c r="AQ16" s="160"/>
      <c r="AR16" s="160"/>
      <c r="AS16" s="160"/>
      <c r="AT16" s="162"/>
      <c r="AU16" s="162"/>
      <c r="AV16" s="162"/>
      <c r="AW16" s="162"/>
      <c r="AX16" s="163"/>
      <c r="AY16" s="164"/>
      <c r="AZ16" s="162"/>
      <c r="BA16" s="160"/>
      <c r="BB16" s="160"/>
      <c r="BC16" s="161" t="s">
        <v>274</v>
      </c>
      <c r="BD16" s="160"/>
      <c r="BE16" s="160"/>
      <c r="BF16" s="160"/>
      <c r="BG16" s="160"/>
      <c r="BH16" s="162"/>
      <c r="BI16" s="162"/>
      <c r="BJ16" s="162"/>
      <c r="BK16" s="162"/>
      <c r="BL16" s="162"/>
      <c r="BM16" s="162"/>
      <c r="BN16" s="162"/>
      <c r="BO16" s="160"/>
      <c r="BP16" s="160"/>
      <c r="BQ16" s="160"/>
      <c r="BR16" s="160"/>
      <c r="BS16" s="160"/>
      <c r="BT16" s="160"/>
      <c r="BU16" s="160"/>
      <c r="BV16" s="162"/>
      <c r="BW16" s="162"/>
      <c r="BX16" s="162"/>
      <c r="BY16" s="162"/>
      <c r="BZ16" s="162"/>
      <c r="CA16" s="162"/>
      <c r="CB16" s="162"/>
      <c r="CC16" s="165"/>
      <c r="CD16" s="166"/>
      <c r="CE16" s="160"/>
      <c r="CF16" s="160"/>
      <c r="CG16" s="160"/>
      <c r="CH16" s="160"/>
      <c r="CI16" s="160"/>
      <c r="CJ16" s="162"/>
      <c r="CK16" s="162"/>
      <c r="CL16" s="162"/>
      <c r="CM16" s="162"/>
      <c r="CN16" s="162"/>
      <c r="CO16" s="162"/>
      <c r="CP16" s="162"/>
      <c r="CQ16" s="160"/>
      <c r="CR16" s="160"/>
      <c r="CS16" s="160"/>
      <c r="CT16" s="160"/>
      <c r="CU16" s="160"/>
      <c r="CV16" s="160"/>
      <c r="CW16" s="160"/>
      <c r="CX16" s="162"/>
      <c r="CY16" s="162"/>
      <c r="CZ16" s="162"/>
      <c r="DA16" s="162"/>
      <c r="DB16" s="162"/>
      <c r="DC16" s="162"/>
      <c r="DD16" s="162"/>
      <c r="DE16" s="160"/>
      <c r="DF16" s="160"/>
      <c r="DG16" s="165"/>
      <c r="DH16" s="166"/>
      <c r="DI16" s="160"/>
      <c r="DJ16" s="160"/>
      <c r="DK16" s="160"/>
      <c r="DL16" s="162"/>
      <c r="DM16" s="162"/>
      <c r="DN16" s="162"/>
      <c r="DO16" s="162"/>
      <c r="DP16" s="162"/>
      <c r="DQ16" s="162"/>
      <c r="DR16" s="162"/>
      <c r="DS16" s="160"/>
      <c r="DT16" s="160"/>
      <c r="DU16" s="160"/>
      <c r="DV16" s="160"/>
      <c r="DW16" s="160"/>
      <c r="DX16" s="160"/>
      <c r="DY16" s="160"/>
      <c r="DZ16" s="162"/>
      <c r="EA16" s="162"/>
      <c r="EB16" s="162"/>
      <c r="EC16" s="162"/>
      <c r="ED16" s="162"/>
      <c r="EE16" s="162"/>
      <c r="EF16" s="162"/>
      <c r="EG16" s="160"/>
      <c r="EH16" s="160"/>
      <c r="EI16" s="160"/>
      <c r="EJ16" s="160"/>
      <c r="EK16" s="160"/>
      <c r="EL16" s="165"/>
      <c r="EM16" s="166"/>
      <c r="EN16" s="162"/>
      <c r="EO16" s="162"/>
      <c r="EP16" s="162"/>
      <c r="EQ16" s="162"/>
      <c r="ER16" s="162"/>
      <c r="ES16" s="162"/>
      <c r="ET16" s="162"/>
      <c r="EU16" s="160"/>
      <c r="EV16" s="160"/>
      <c r="EW16" s="160"/>
      <c r="EX16" s="160"/>
      <c r="EY16" s="160"/>
      <c r="EZ16" s="160"/>
      <c r="FA16" s="160"/>
      <c r="FB16" s="162"/>
      <c r="FC16" s="162"/>
      <c r="FD16" s="162"/>
      <c r="FE16" s="162"/>
      <c r="FF16" s="162"/>
      <c r="FG16" s="162"/>
      <c r="FH16" s="162"/>
      <c r="FI16" s="160"/>
      <c r="FJ16" s="160"/>
      <c r="FK16" s="160"/>
      <c r="FL16" s="160"/>
      <c r="FM16" s="160"/>
      <c r="FN16" s="160"/>
      <c r="FO16" s="160"/>
      <c r="FP16" s="162"/>
      <c r="FQ16" s="163"/>
      <c r="FR16" s="164"/>
      <c r="FS16" s="162"/>
      <c r="FT16" s="162"/>
      <c r="FU16" s="162"/>
      <c r="FV16" s="162"/>
      <c r="FW16" s="160"/>
      <c r="FX16" s="160"/>
      <c r="FY16" s="160"/>
      <c r="FZ16" s="160"/>
      <c r="GA16" s="160"/>
      <c r="GB16" s="160"/>
      <c r="GC16" s="160"/>
      <c r="GD16" s="162"/>
      <c r="GE16" s="162"/>
      <c r="GF16" s="162"/>
      <c r="GG16" s="162"/>
      <c r="GH16" s="162"/>
      <c r="GI16" s="162"/>
      <c r="GJ16" s="162"/>
      <c r="GK16" s="160"/>
      <c r="GL16" s="160"/>
      <c r="GM16" s="160"/>
      <c r="GN16" s="160"/>
      <c r="GO16" s="160"/>
      <c r="GP16" s="160"/>
      <c r="GQ16" s="160"/>
      <c r="GR16" s="162"/>
      <c r="GS16" s="162"/>
      <c r="GT16" s="162"/>
      <c r="GU16" s="163"/>
      <c r="GV16" s="164"/>
      <c r="GW16" s="162"/>
      <c r="GX16" s="162"/>
      <c r="GY16" s="160"/>
      <c r="GZ16" s="160"/>
      <c r="HA16" s="160"/>
      <c r="HB16" s="160"/>
      <c r="HC16" s="160"/>
      <c r="HD16" s="160"/>
      <c r="HE16" s="160"/>
      <c r="HF16" s="162"/>
      <c r="HG16" s="162"/>
      <c r="HH16" s="162"/>
      <c r="HI16" s="162"/>
      <c r="HJ16" s="162"/>
      <c r="HK16" s="162"/>
      <c r="HL16" s="162"/>
      <c r="HM16" s="160"/>
      <c r="HN16" s="160"/>
      <c r="HO16" s="160"/>
      <c r="HP16" s="160"/>
      <c r="HQ16" s="160"/>
      <c r="HR16" s="160"/>
      <c r="HS16" s="160"/>
      <c r="HT16" s="162"/>
      <c r="HU16" s="162"/>
      <c r="HV16" s="162"/>
      <c r="HW16" s="162"/>
      <c r="HX16" s="162"/>
      <c r="HY16" s="162"/>
      <c r="HZ16" s="163"/>
      <c r="IA16" s="166"/>
      <c r="IB16" s="160"/>
      <c r="IC16" s="160"/>
      <c r="ID16" s="160"/>
      <c r="IE16" s="160"/>
      <c r="IF16" s="160"/>
      <c r="IG16" s="160"/>
      <c r="IH16" s="162"/>
      <c r="II16" s="162"/>
      <c r="IJ16" s="162"/>
      <c r="IK16" s="162"/>
      <c r="IL16" s="162"/>
      <c r="IM16" s="162"/>
      <c r="IN16" s="162"/>
      <c r="IO16" s="160"/>
      <c r="IP16" s="160"/>
      <c r="IQ16" s="160"/>
      <c r="IR16" s="160"/>
      <c r="IS16" s="160"/>
      <c r="IT16" s="160"/>
      <c r="IU16" s="160"/>
      <c r="IV16" s="162"/>
      <c r="IW16" s="162"/>
      <c r="IX16" s="162"/>
      <c r="IY16" s="162"/>
      <c r="IZ16" s="162"/>
      <c r="JA16" s="162"/>
      <c r="JB16" s="162"/>
      <c r="JC16" s="160"/>
      <c r="JD16" s="165"/>
      <c r="JE16" s="166"/>
      <c r="JF16" s="160"/>
      <c r="JG16" s="160"/>
      <c r="JH16" s="160"/>
      <c r="JI16" s="160"/>
      <c r="JJ16" s="162"/>
      <c r="JK16" s="162"/>
      <c r="JL16" s="162"/>
      <c r="JM16" s="162"/>
      <c r="JN16" s="162"/>
      <c r="JO16" s="162"/>
      <c r="JP16" s="162"/>
      <c r="JQ16" s="160"/>
      <c r="JR16" s="160"/>
      <c r="JS16" s="160"/>
      <c r="JT16" s="160"/>
      <c r="JU16" s="160"/>
      <c r="JV16" s="160"/>
      <c r="JW16" s="160"/>
      <c r="JX16" s="162"/>
      <c r="JY16" s="162"/>
      <c r="JZ16" s="162"/>
      <c r="KA16" s="162"/>
      <c r="KB16" s="162"/>
      <c r="KC16" s="162"/>
      <c r="KD16" s="162"/>
      <c r="KE16" s="160"/>
      <c r="KF16" s="160"/>
      <c r="KG16" s="160"/>
      <c r="KH16" s="160"/>
      <c r="KI16" s="165"/>
      <c r="KJ16" s="166"/>
      <c r="KK16" s="160"/>
      <c r="KL16" s="162"/>
      <c r="KM16" s="162"/>
      <c r="KN16" s="162"/>
      <c r="KO16" s="162"/>
      <c r="KP16" s="162"/>
      <c r="KQ16" s="162"/>
      <c r="KR16" s="162"/>
      <c r="KS16" s="160"/>
      <c r="KT16" s="160"/>
      <c r="KU16" s="160"/>
      <c r="KV16" s="160"/>
      <c r="KW16" s="160"/>
      <c r="KX16" s="160"/>
      <c r="KY16" s="160"/>
      <c r="KZ16" s="162"/>
      <c r="LA16" s="162"/>
      <c r="LB16" s="162"/>
      <c r="LC16" s="162"/>
      <c r="LD16" s="162"/>
      <c r="LE16" s="162"/>
      <c r="LF16" s="162"/>
      <c r="LG16" s="160"/>
      <c r="LH16" s="160"/>
      <c r="LI16" s="160"/>
      <c r="LJ16" s="160"/>
      <c r="LK16" s="160"/>
      <c r="LL16" s="160"/>
      <c r="LM16" s="165"/>
    </row>
    <row r="17" spans="1:325" ht="16.5" outlineLevel="2">
      <c r="A17" s="13"/>
      <c r="B17" s="157" t="s">
        <v>15</v>
      </c>
      <c r="C17" s="232" t="s">
        <v>334</v>
      </c>
      <c r="D17" s="215"/>
      <c r="E17" s="215"/>
      <c r="F17" s="215"/>
      <c r="G17" s="216"/>
      <c r="H17" s="217" t="s">
        <v>0</v>
      </c>
      <c r="I17" s="217"/>
      <c r="J17" s="218" t="s">
        <v>163</v>
      </c>
      <c r="K17" s="219">
        <f>IF(AND(NOT(ISNUMBER(Gantt!$Q17)),NOT(ISNUMBER(Gantt!$N17))),"",IF(NOT(ISNUMBER(Gantt!$Q17)),0,Gantt!$Q17/Gantt!$N17))</f>
        <v>0.5714285714285714</v>
      </c>
      <c r="L17" s="220">
        <v>43946</v>
      </c>
      <c r="M17" s="220">
        <v>43959</v>
      </c>
      <c r="N17" s="221">
        <f t="shared" si="0"/>
        <v>14</v>
      </c>
      <c r="O17" s="220">
        <v>43952</v>
      </c>
      <c r="P17" s="220">
        <v>43959</v>
      </c>
      <c r="Q17" s="221">
        <f t="shared" si="1"/>
        <v>8</v>
      </c>
      <c r="R17" s="221" t="str">
        <f t="shared" ca="1" si="2"/>
        <v>완료</v>
      </c>
      <c r="S17" s="158"/>
      <c r="T17" s="159"/>
      <c r="U17" s="162"/>
      <c r="V17" s="162"/>
      <c r="W17" s="162"/>
      <c r="X17" s="162"/>
      <c r="Y17" s="160"/>
      <c r="Z17" s="160"/>
      <c r="AA17" s="160"/>
      <c r="AB17" s="160"/>
      <c r="AC17" s="160"/>
      <c r="AD17" s="160"/>
      <c r="AE17" s="160"/>
      <c r="AF17" s="162"/>
      <c r="AG17" s="162"/>
      <c r="AH17" s="162"/>
      <c r="AI17" s="162"/>
      <c r="AJ17" s="162"/>
      <c r="AK17" s="162"/>
      <c r="AL17" s="162"/>
      <c r="AM17" s="160"/>
      <c r="AN17" s="193"/>
      <c r="AO17" s="160"/>
      <c r="AP17" s="160"/>
      <c r="AQ17" s="160"/>
      <c r="AR17" s="160"/>
      <c r="AS17" s="160"/>
      <c r="AT17" s="162"/>
      <c r="AU17" s="162"/>
      <c r="AV17" s="162"/>
      <c r="AW17" s="162"/>
      <c r="AX17" s="163"/>
      <c r="AY17" s="164"/>
      <c r="AZ17" s="162"/>
      <c r="BA17" s="160"/>
      <c r="BB17" s="160"/>
      <c r="BC17" s="160"/>
      <c r="BD17" s="160"/>
      <c r="BE17" s="160"/>
      <c r="BF17" s="160"/>
      <c r="BG17" s="161" t="s">
        <v>275</v>
      </c>
      <c r="BH17" s="162"/>
      <c r="BI17" s="162"/>
      <c r="BJ17" s="162"/>
      <c r="BK17" s="162"/>
      <c r="BL17" s="162"/>
      <c r="BM17" s="162"/>
      <c r="BN17" s="162"/>
      <c r="BO17" s="160"/>
      <c r="BP17" s="160"/>
      <c r="BQ17" s="160"/>
      <c r="BR17" s="160"/>
      <c r="BS17" s="160"/>
      <c r="BT17" s="160"/>
      <c r="BU17" s="160"/>
      <c r="BV17" s="162"/>
      <c r="BW17" s="162"/>
      <c r="BX17" s="162"/>
      <c r="BY17" s="162"/>
      <c r="BZ17" s="162"/>
      <c r="CA17" s="162"/>
      <c r="CB17" s="162"/>
      <c r="CC17" s="165"/>
      <c r="CD17" s="166"/>
      <c r="CE17" s="160"/>
      <c r="CF17" s="160"/>
      <c r="CG17" s="160"/>
      <c r="CH17" s="160"/>
      <c r="CI17" s="160"/>
      <c r="CJ17" s="162"/>
      <c r="CK17" s="162"/>
      <c r="CL17" s="162"/>
      <c r="CM17" s="162"/>
      <c r="CN17" s="162"/>
      <c r="CO17" s="162"/>
      <c r="CP17" s="162"/>
      <c r="CQ17" s="160"/>
      <c r="CR17" s="160"/>
      <c r="CS17" s="160"/>
      <c r="CT17" s="160"/>
      <c r="CU17" s="160"/>
      <c r="CV17" s="160"/>
      <c r="CW17" s="160"/>
      <c r="CX17" s="162"/>
      <c r="CY17" s="162"/>
      <c r="CZ17" s="162"/>
      <c r="DA17" s="162"/>
      <c r="DB17" s="162"/>
      <c r="DC17" s="162"/>
      <c r="DD17" s="162"/>
      <c r="DE17" s="160"/>
      <c r="DF17" s="160"/>
      <c r="DG17" s="165"/>
      <c r="DH17" s="166"/>
      <c r="DI17" s="160"/>
      <c r="DJ17" s="160"/>
      <c r="DK17" s="160"/>
      <c r="DL17" s="162"/>
      <c r="DM17" s="162"/>
      <c r="DN17" s="162"/>
      <c r="DO17" s="162"/>
      <c r="DP17" s="162"/>
      <c r="DQ17" s="162"/>
      <c r="DR17" s="162"/>
      <c r="DS17" s="160"/>
      <c r="DT17" s="160"/>
      <c r="DU17" s="160"/>
      <c r="DV17" s="160"/>
      <c r="DW17" s="160"/>
      <c r="DX17" s="160"/>
      <c r="DY17" s="160"/>
      <c r="DZ17" s="162"/>
      <c r="EA17" s="162"/>
      <c r="EB17" s="162"/>
      <c r="EC17" s="162"/>
      <c r="ED17" s="162"/>
      <c r="EE17" s="162"/>
      <c r="EF17" s="162"/>
      <c r="EG17" s="160"/>
      <c r="EH17" s="160"/>
      <c r="EI17" s="160"/>
      <c r="EJ17" s="160"/>
      <c r="EK17" s="160"/>
      <c r="EL17" s="165"/>
      <c r="EM17" s="166"/>
      <c r="EN17" s="162"/>
      <c r="EO17" s="162"/>
      <c r="EP17" s="162"/>
      <c r="EQ17" s="162"/>
      <c r="ER17" s="162"/>
      <c r="ES17" s="162"/>
      <c r="ET17" s="162"/>
      <c r="EU17" s="160"/>
      <c r="EV17" s="160"/>
      <c r="EW17" s="160"/>
      <c r="EX17" s="160"/>
      <c r="EY17" s="160"/>
      <c r="EZ17" s="160"/>
      <c r="FA17" s="160"/>
      <c r="FB17" s="162"/>
      <c r="FC17" s="162"/>
      <c r="FD17" s="162"/>
      <c r="FE17" s="162"/>
      <c r="FF17" s="162"/>
      <c r="FG17" s="162"/>
      <c r="FH17" s="162"/>
      <c r="FI17" s="160"/>
      <c r="FJ17" s="160"/>
      <c r="FK17" s="160"/>
      <c r="FL17" s="160"/>
      <c r="FM17" s="160"/>
      <c r="FN17" s="160"/>
      <c r="FO17" s="160"/>
      <c r="FP17" s="162"/>
      <c r="FQ17" s="163"/>
      <c r="FR17" s="164"/>
      <c r="FS17" s="162"/>
      <c r="FT17" s="162"/>
      <c r="FU17" s="162"/>
      <c r="FV17" s="162"/>
      <c r="FW17" s="160"/>
      <c r="FX17" s="160"/>
      <c r="FY17" s="160"/>
      <c r="FZ17" s="160"/>
      <c r="GA17" s="160"/>
      <c r="GB17" s="160"/>
      <c r="GC17" s="160"/>
      <c r="GD17" s="162"/>
      <c r="GE17" s="162"/>
      <c r="GF17" s="162"/>
      <c r="GG17" s="162"/>
      <c r="GH17" s="162"/>
      <c r="GI17" s="162"/>
      <c r="GJ17" s="162"/>
      <c r="GK17" s="160"/>
      <c r="GL17" s="160"/>
      <c r="GM17" s="160"/>
      <c r="GN17" s="160"/>
      <c r="GO17" s="160"/>
      <c r="GP17" s="160"/>
      <c r="GQ17" s="160"/>
      <c r="GR17" s="162"/>
      <c r="GS17" s="162"/>
      <c r="GT17" s="162"/>
      <c r="GU17" s="163"/>
      <c r="GV17" s="164"/>
      <c r="GW17" s="162"/>
      <c r="GX17" s="162"/>
      <c r="GY17" s="160"/>
      <c r="GZ17" s="160"/>
      <c r="HA17" s="160"/>
      <c r="HB17" s="160"/>
      <c r="HC17" s="160"/>
      <c r="HD17" s="160"/>
      <c r="HE17" s="160"/>
      <c r="HF17" s="162"/>
      <c r="HG17" s="162"/>
      <c r="HH17" s="162"/>
      <c r="HI17" s="162"/>
      <c r="HJ17" s="162"/>
      <c r="HK17" s="162"/>
      <c r="HL17" s="162"/>
      <c r="HM17" s="160"/>
      <c r="HN17" s="160"/>
      <c r="HO17" s="160"/>
      <c r="HP17" s="160"/>
      <c r="HQ17" s="160"/>
      <c r="HR17" s="160"/>
      <c r="HS17" s="160"/>
      <c r="HT17" s="162"/>
      <c r="HU17" s="162"/>
      <c r="HV17" s="162"/>
      <c r="HW17" s="162"/>
      <c r="HX17" s="162"/>
      <c r="HY17" s="162"/>
      <c r="HZ17" s="163"/>
      <c r="IA17" s="166"/>
      <c r="IB17" s="160"/>
      <c r="IC17" s="160"/>
      <c r="ID17" s="160"/>
      <c r="IE17" s="160"/>
      <c r="IF17" s="160"/>
      <c r="IG17" s="160"/>
      <c r="IH17" s="162"/>
      <c r="II17" s="162"/>
      <c r="IJ17" s="162"/>
      <c r="IK17" s="162"/>
      <c r="IL17" s="162"/>
      <c r="IM17" s="162"/>
      <c r="IN17" s="162"/>
      <c r="IO17" s="160"/>
      <c r="IP17" s="160"/>
      <c r="IQ17" s="160"/>
      <c r="IR17" s="160"/>
      <c r="IS17" s="160"/>
      <c r="IT17" s="160"/>
      <c r="IU17" s="160"/>
      <c r="IV17" s="162"/>
      <c r="IW17" s="162"/>
      <c r="IX17" s="162"/>
      <c r="IY17" s="162"/>
      <c r="IZ17" s="162"/>
      <c r="JA17" s="162"/>
      <c r="JB17" s="162"/>
      <c r="JC17" s="160"/>
      <c r="JD17" s="165"/>
      <c r="JE17" s="166"/>
      <c r="JF17" s="160"/>
      <c r="JG17" s="160"/>
      <c r="JH17" s="160"/>
      <c r="JI17" s="160"/>
      <c r="JJ17" s="162"/>
      <c r="JK17" s="162"/>
      <c r="JL17" s="162"/>
      <c r="JM17" s="162"/>
      <c r="JN17" s="162"/>
      <c r="JO17" s="162"/>
      <c r="JP17" s="162"/>
      <c r="JQ17" s="160"/>
      <c r="JR17" s="160"/>
      <c r="JS17" s="160"/>
      <c r="JT17" s="160"/>
      <c r="JU17" s="160"/>
      <c r="JV17" s="160"/>
      <c r="JW17" s="160"/>
      <c r="JX17" s="162"/>
      <c r="JY17" s="162"/>
      <c r="JZ17" s="162"/>
      <c r="KA17" s="162"/>
      <c r="KB17" s="162"/>
      <c r="KC17" s="162"/>
      <c r="KD17" s="162"/>
      <c r="KE17" s="160"/>
      <c r="KF17" s="160"/>
      <c r="KG17" s="160"/>
      <c r="KH17" s="160"/>
      <c r="KI17" s="165"/>
      <c r="KJ17" s="166"/>
      <c r="KK17" s="160"/>
      <c r="KL17" s="162"/>
      <c r="KM17" s="162"/>
      <c r="KN17" s="162"/>
      <c r="KO17" s="162"/>
      <c r="KP17" s="162"/>
      <c r="KQ17" s="162"/>
      <c r="KR17" s="162"/>
      <c r="KS17" s="160"/>
      <c r="KT17" s="160"/>
      <c r="KU17" s="160"/>
      <c r="KV17" s="160"/>
      <c r="KW17" s="160"/>
      <c r="KX17" s="160"/>
      <c r="KY17" s="160"/>
      <c r="KZ17" s="162"/>
      <c r="LA17" s="162"/>
      <c r="LB17" s="162"/>
      <c r="LC17" s="162"/>
      <c r="LD17" s="162"/>
      <c r="LE17" s="162"/>
      <c r="LF17" s="162"/>
      <c r="LG17" s="160"/>
      <c r="LH17" s="160"/>
      <c r="LI17" s="160"/>
      <c r="LJ17" s="160"/>
      <c r="LK17" s="160"/>
      <c r="LL17" s="160"/>
      <c r="LM17" s="165"/>
    </row>
    <row r="18" spans="1:325" ht="16.5">
      <c r="A18" s="85"/>
      <c r="B18" s="184" t="s">
        <v>26</v>
      </c>
      <c r="C18" s="207" t="s">
        <v>335</v>
      </c>
      <c r="D18" s="208"/>
      <c r="E18" s="208"/>
      <c r="F18" s="208"/>
      <c r="G18" s="209" t="s">
        <v>39</v>
      </c>
      <c r="H18" s="210" t="s">
        <v>0</v>
      </c>
      <c r="I18" s="210"/>
      <c r="J18" s="208" t="s">
        <v>17</v>
      </c>
      <c r="K18" s="211">
        <f>IF(AND(NOT(ISNUMBER(Gantt!$Q18)),NOT(ISNUMBER(Gantt!$N18))),"",IF(NOT(ISNUMBER(Gantt!$Q18)),0,Gantt!$Q18/Gantt!$N18))</f>
        <v>2</v>
      </c>
      <c r="L18" s="212">
        <v>43960</v>
      </c>
      <c r="M18" s="212">
        <v>43963</v>
      </c>
      <c r="N18" s="213">
        <f t="shared" si="0"/>
        <v>4</v>
      </c>
      <c r="O18" s="212">
        <v>43956</v>
      </c>
      <c r="P18" s="212">
        <v>43963</v>
      </c>
      <c r="Q18" s="213">
        <f t="shared" si="1"/>
        <v>8</v>
      </c>
      <c r="R18" s="213" t="str">
        <f t="shared" ca="1" si="2"/>
        <v>완료</v>
      </c>
      <c r="S18" s="185"/>
      <c r="T18" s="176"/>
      <c r="U18" s="178"/>
      <c r="V18" s="178"/>
      <c r="W18" s="178"/>
      <c r="X18" s="178"/>
      <c r="Y18" s="177"/>
      <c r="Z18" s="177"/>
      <c r="AA18" s="177"/>
      <c r="AB18" s="177"/>
      <c r="AC18" s="177"/>
      <c r="AD18" s="177"/>
      <c r="AE18" s="177"/>
      <c r="AF18" s="178"/>
      <c r="AG18" s="178"/>
      <c r="AH18" s="178"/>
      <c r="AI18" s="178"/>
      <c r="AJ18" s="178"/>
      <c r="AK18" s="178"/>
      <c r="AL18" s="178"/>
      <c r="AM18" s="177"/>
      <c r="AN18" s="177"/>
      <c r="AO18" s="177"/>
      <c r="AP18" s="177"/>
      <c r="AQ18" s="177"/>
      <c r="AR18" s="196"/>
      <c r="AS18" s="177"/>
      <c r="AT18" s="178"/>
      <c r="AU18" s="178"/>
      <c r="AV18" s="178"/>
      <c r="AW18" s="178"/>
      <c r="AX18" s="179"/>
      <c r="AY18" s="180"/>
      <c r="AZ18" s="178"/>
      <c r="BA18" s="177"/>
      <c r="BB18" s="177"/>
      <c r="BC18" s="177"/>
      <c r="BD18" s="177"/>
      <c r="BE18" s="177"/>
      <c r="BF18" s="177"/>
      <c r="BG18" s="177"/>
      <c r="BH18" s="178"/>
      <c r="BI18" s="178"/>
      <c r="BJ18" s="178"/>
      <c r="BK18" s="183" t="s">
        <v>276</v>
      </c>
      <c r="BL18" s="178"/>
      <c r="BM18" s="178"/>
      <c r="BN18" s="178"/>
      <c r="BO18" s="177"/>
      <c r="BP18" s="177"/>
      <c r="BQ18" s="177"/>
      <c r="BR18" s="177"/>
      <c r="BS18" s="177"/>
      <c r="BT18" s="177"/>
      <c r="BU18" s="177"/>
      <c r="BV18" s="178"/>
      <c r="BW18" s="178"/>
      <c r="BX18" s="178"/>
      <c r="BY18" s="178"/>
      <c r="BZ18" s="178"/>
      <c r="CA18" s="178"/>
      <c r="CB18" s="178"/>
      <c r="CC18" s="181"/>
      <c r="CD18" s="182"/>
      <c r="CE18" s="177"/>
      <c r="CF18" s="177"/>
      <c r="CG18" s="177"/>
      <c r="CH18" s="177"/>
      <c r="CI18" s="177"/>
      <c r="CJ18" s="178"/>
      <c r="CK18" s="178"/>
      <c r="CL18" s="178"/>
      <c r="CM18" s="178"/>
      <c r="CN18" s="178"/>
      <c r="CO18" s="178"/>
      <c r="CP18" s="178"/>
      <c r="CQ18" s="177"/>
      <c r="CR18" s="177"/>
      <c r="CS18" s="177"/>
      <c r="CT18" s="177"/>
      <c r="CU18" s="177"/>
      <c r="CV18" s="177"/>
      <c r="CW18" s="177"/>
      <c r="CX18" s="178"/>
      <c r="CY18" s="178"/>
      <c r="CZ18" s="178"/>
      <c r="DA18" s="178"/>
      <c r="DB18" s="178"/>
      <c r="DC18" s="178"/>
      <c r="DD18" s="178"/>
      <c r="DE18" s="177"/>
      <c r="DF18" s="177"/>
      <c r="DG18" s="181"/>
      <c r="DH18" s="182"/>
      <c r="DI18" s="177"/>
      <c r="DJ18" s="177"/>
      <c r="DK18" s="177"/>
      <c r="DL18" s="178"/>
      <c r="DM18" s="178"/>
      <c r="DN18" s="178"/>
      <c r="DO18" s="178"/>
      <c r="DP18" s="178"/>
      <c r="DQ18" s="178"/>
      <c r="DR18" s="178"/>
      <c r="DS18" s="177"/>
      <c r="DT18" s="177"/>
      <c r="DU18" s="177"/>
      <c r="DV18" s="177"/>
      <c r="DW18" s="177"/>
      <c r="DX18" s="177"/>
      <c r="DY18" s="177"/>
      <c r="DZ18" s="178"/>
      <c r="EA18" s="178"/>
      <c r="EB18" s="178"/>
      <c r="EC18" s="178"/>
      <c r="ED18" s="178"/>
      <c r="EE18" s="178"/>
      <c r="EF18" s="178"/>
      <c r="EG18" s="177"/>
      <c r="EH18" s="177"/>
      <c r="EI18" s="177"/>
      <c r="EJ18" s="177"/>
      <c r="EK18" s="177"/>
      <c r="EL18" s="181"/>
      <c r="EM18" s="182"/>
      <c r="EN18" s="178"/>
      <c r="EO18" s="178"/>
      <c r="EP18" s="178"/>
      <c r="EQ18" s="178"/>
      <c r="ER18" s="178"/>
      <c r="ES18" s="178"/>
      <c r="ET18" s="178"/>
      <c r="EU18" s="177"/>
      <c r="EV18" s="177"/>
      <c r="EW18" s="177"/>
      <c r="EX18" s="177"/>
      <c r="EY18" s="177"/>
      <c r="EZ18" s="177"/>
      <c r="FA18" s="177"/>
      <c r="FB18" s="178"/>
      <c r="FC18" s="178"/>
      <c r="FD18" s="178"/>
      <c r="FE18" s="178"/>
      <c r="FF18" s="178"/>
      <c r="FG18" s="178"/>
      <c r="FH18" s="178"/>
      <c r="FI18" s="177"/>
      <c r="FJ18" s="177"/>
      <c r="FK18" s="177"/>
      <c r="FL18" s="177"/>
      <c r="FM18" s="177"/>
      <c r="FN18" s="177"/>
      <c r="FO18" s="177"/>
      <c r="FP18" s="178"/>
      <c r="FQ18" s="179"/>
      <c r="FR18" s="180"/>
      <c r="FS18" s="178"/>
      <c r="FT18" s="178"/>
      <c r="FU18" s="178"/>
      <c r="FV18" s="178"/>
      <c r="FW18" s="177"/>
      <c r="FX18" s="177"/>
      <c r="FY18" s="177"/>
      <c r="FZ18" s="177"/>
      <c r="GA18" s="177"/>
      <c r="GB18" s="177"/>
      <c r="GC18" s="177"/>
      <c r="GD18" s="178"/>
      <c r="GE18" s="178"/>
      <c r="GF18" s="178"/>
      <c r="GG18" s="178"/>
      <c r="GH18" s="178"/>
      <c r="GI18" s="178"/>
      <c r="GJ18" s="178"/>
      <c r="GK18" s="177"/>
      <c r="GL18" s="177"/>
      <c r="GM18" s="177"/>
      <c r="GN18" s="177"/>
      <c r="GO18" s="177"/>
      <c r="GP18" s="177"/>
      <c r="GQ18" s="177"/>
      <c r="GR18" s="178"/>
      <c r="GS18" s="178"/>
      <c r="GT18" s="178"/>
      <c r="GU18" s="179"/>
      <c r="GV18" s="180"/>
      <c r="GW18" s="178"/>
      <c r="GX18" s="178"/>
      <c r="GY18" s="177"/>
      <c r="GZ18" s="177"/>
      <c r="HA18" s="177"/>
      <c r="HB18" s="177"/>
      <c r="HC18" s="177"/>
      <c r="HD18" s="177"/>
      <c r="HE18" s="177"/>
      <c r="HF18" s="178"/>
      <c r="HG18" s="178"/>
      <c r="HH18" s="178"/>
      <c r="HI18" s="178"/>
      <c r="HJ18" s="178"/>
      <c r="HK18" s="178"/>
      <c r="HL18" s="178"/>
      <c r="HM18" s="177"/>
      <c r="HN18" s="177"/>
      <c r="HO18" s="177"/>
      <c r="HP18" s="177"/>
      <c r="HQ18" s="177"/>
      <c r="HR18" s="177"/>
      <c r="HS18" s="177"/>
      <c r="HT18" s="178"/>
      <c r="HU18" s="178"/>
      <c r="HV18" s="178"/>
      <c r="HW18" s="178"/>
      <c r="HX18" s="178"/>
      <c r="HY18" s="178"/>
      <c r="HZ18" s="179"/>
      <c r="IA18" s="182"/>
      <c r="IB18" s="177"/>
      <c r="IC18" s="177"/>
      <c r="ID18" s="177"/>
      <c r="IE18" s="177"/>
      <c r="IF18" s="177"/>
      <c r="IG18" s="177"/>
      <c r="IH18" s="178"/>
      <c r="II18" s="178"/>
      <c r="IJ18" s="178"/>
      <c r="IK18" s="178"/>
      <c r="IL18" s="178"/>
      <c r="IM18" s="178"/>
      <c r="IN18" s="178"/>
      <c r="IO18" s="177"/>
      <c r="IP18" s="177"/>
      <c r="IQ18" s="177"/>
      <c r="IR18" s="177"/>
      <c r="IS18" s="177"/>
      <c r="IT18" s="177"/>
      <c r="IU18" s="177"/>
      <c r="IV18" s="178"/>
      <c r="IW18" s="178"/>
      <c r="IX18" s="178"/>
      <c r="IY18" s="178"/>
      <c r="IZ18" s="178"/>
      <c r="JA18" s="178"/>
      <c r="JB18" s="178"/>
      <c r="JC18" s="177"/>
      <c r="JD18" s="181"/>
      <c r="JE18" s="182"/>
      <c r="JF18" s="177"/>
      <c r="JG18" s="177"/>
      <c r="JH18" s="177"/>
      <c r="JI18" s="177"/>
      <c r="JJ18" s="178"/>
      <c r="JK18" s="178"/>
      <c r="JL18" s="178"/>
      <c r="JM18" s="178"/>
      <c r="JN18" s="178"/>
      <c r="JO18" s="178"/>
      <c r="JP18" s="178"/>
      <c r="JQ18" s="177"/>
      <c r="JR18" s="177"/>
      <c r="JS18" s="177"/>
      <c r="JT18" s="177"/>
      <c r="JU18" s="177"/>
      <c r="JV18" s="177"/>
      <c r="JW18" s="177"/>
      <c r="JX18" s="178"/>
      <c r="JY18" s="178"/>
      <c r="JZ18" s="178"/>
      <c r="KA18" s="178"/>
      <c r="KB18" s="178"/>
      <c r="KC18" s="178"/>
      <c r="KD18" s="178"/>
      <c r="KE18" s="177"/>
      <c r="KF18" s="177"/>
      <c r="KG18" s="177"/>
      <c r="KH18" s="177"/>
      <c r="KI18" s="181"/>
      <c r="KJ18" s="182"/>
      <c r="KK18" s="177"/>
      <c r="KL18" s="178"/>
      <c r="KM18" s="178"/>
      <c r="KN18" s="178"/>
      <c r="KO18" s="178"/>
      <c r="KP18" s="178"/>
      <c r="KQ18" s="178"/>
      <c r="KR18" s="178"/>
      <c r="KS18" s="177"/>
      <c r="KT18" s="177"/>
      <c r="KU18" s="177"/>
      <c r="KV18" s="177"/>
      <c r="KW18" s="177"/>
      <c r="KX18" s="177"/>
      <c r="KY18" s="177"/>
      <c r="KZ18" s="178"/>
      <c r="LA18" s="178"/>
      <c r="LB18" s="178"/>
      <c r="LC18" s="178"/>
      <c r="LD18" s="178"/>
      <c r="LE18" s="178"/>
      <c r="LF18" s="178"/>
      <c r="LG18" s="177"/>
      <c r="LH18" s="177"/>
      <c r="LI18" s="177"/>
      <c r="LJ18" s="177"/>
      <c r="LK18" s="177"/>
      <c r="LL18" s="177"/>
      <c r="LM18" s="181"/>
    </row>
    <row r="19" spans="1:325" ht="16.5" outlineLevel="1">
      <c r="A19" s="13"/>
      <c r="B19" s="157" t="s">
        <v>215</v>
      </c>
      <c r="C19" s="214" t="s">
        <v>336</v>
      </c>
      <c r="D19" s="215"/>
      <c r="E19" s="215"/>
      <c r="F19" s="215"/>
      <c r="G19" s="215"/>
      <c r="H19" s="222"/>
      <c r="I19" s="222"/>
      <c r="J19" s="215"/>
      <c r="K19" s="223">
        <f>IF(AND(NOT(ISNUMBER(Gantt!$Q19)),NOT(ISNUMBER(Gantt!$N19))),"",IF(NOT(ISNUMBER(Gantt!$Q19)),0,Gantt!$Q19/Gantt!$N19))</f>
        <v>2</v>
      </c>
      <c r="L19" s="224">
        <v>43960</v>
      </c>
      <c r="M19" s="224">
        <v>43963</v>
      </c>
      <c r="N19" s="225">
        <f t="shared" si="0"/>
        <v>4</v>
      </c>
      <c r="O19" s="224">
        <v>43956</v>
      </c>
      <c r="P19" s="224">
        <v>43963</v>
      </c>
      <c r="Q19" s="225">
        <f t="shared" si="1"/>
        <v>8</v>
      </c>
      <c r="R19" s="225" t="str">
        <f t="shared" ca="1" si="2"/>
        <v>완료</v>
      </c>
      <c r="S19" s="167"/>
      <c r="T19" s="159"/>
      <c r="U19" s="162"/>
      <c r="V19" s="162"/>
      <c r="W19" s="162"/>
      <c r="X19" s="162"/>
      <c r="Y19" s="160"/>
      <c r="Z19" s="160"/>
      <c r="AA19" s="160"/>
      <c r="AB19" s="160"/>
      <c r="AC19" s="160"/>
      <c r="AD19" s="160"/>
      <c r="AE19" s="160"/>
      <c r="AF19" s="162"/>
      <c r="AG19" s="162"/>
      <c r="AH19" s="162"/>
      <c r="AI19" s="162"/>
      <c r="AJ19" s="162"/>
      <c r="AK19" s="162"/>
      <c r="AL19" s="162"/>
      <c r="AM19" s="160"/>
      <c r="AN19" s="160"/>
      <c r="AO19" s="160"/>
      <c r="AP19" s="160"/>
      <c r="AQ19" s="160"/>
      <c r="AR19" s="193"/>
      <c r="AS19" s="160"/>
      <c r="AT19" s="162"/>
      <c r="AU19" s="162"/>
      <c r="AV19" s="162"/>
      <c r="AW19" s="162"/>
      <c r="AX19" s="163"/>
      <c r="AY19" s="164"/>
      <c r="AZ19" s="162"/>
      <c r="BA19" s="160"/>
      <c r="BB19" s="160"/>
      <c r="BC19" s="160"/>
      <c r="BD19" s="160"/>
      <c r="BE19" s="160"/>
      <c r="BF19" s="160"/>
      <c r="BG19" s="160"/>
      <c r="BH19" s="162"/>
      <c r="BI19" s="162"/>
      <c r="BJ19" s="162"/>
      <c r="BK19" s="168" t="s">
        <v>277</v>
      </c>
      <c r="BL19" s="162"/>
      <c r="BM19" s="162"/>
      <c r="BN19" s="162"/>
      <c r="BO19" s="160"/>
      <c r="BP19" s="160"/>
      <c r="BQ19" s="160"/>
      <c r="BR19" s="160"/>
      <c r="BS19" s="160"/>
      <c r="BT19" s="160"/>
      <c r="BU19" s="160"/>
      <c r="BV19" s="162"/>
      <c r="BW19" s="162"/>
      <c r="BX19" s="162"/>
      <c r="BY19" s="162"/>
      <c r="BZ19" s="162"/>
      <c r="CA19" s="162"/>
      <c r="CB19" s="162"/>
      <c r="CC19" s="165"/>
      <c r="CD19" s="166"/>
      <c r="CE19" s="160"/>
      <c r="CF19" s="160"/>
      <c r="CG19" s="160"/>
      <c r="CH19" s="160"/>
      <c r="CI19" s="160"/>
      <c r="CJ19" s="162"/>
      <c r="CK19" s="162"/>
      <c r="CL19" s="162"/>
      <c r="CM19" s="162"/>
      <c r="CN19" s="162"/>
      <c r="CO19" s="162"/>
      <c r="CP19" s="162"/>
      <c r="CQ19" s="160"/>
      <c r="CR19" s="160"/>
      <c r="CS19" s="160"/>
      <c r="CT19" s="160"/>
      <c r="CU19" s="160"/>
      <c r="CV19" s="160"/>
      <c r="CW19" s="160"/>
      <c r="CX19" s="162"/>
      <c r="CY19" s="162"/>
      <c r="CZ19" s="162"/>
      <c r="DA19" s="162"/>
      <c r="DB19" s="162"/>
      <c r="DC19" s="162"/>
      <c r="DD19" s="162"/>
      <c r="DE19" s="160"/>
      <c r="DF19" s="160"/>
      <c r="DG19" s="165"/>
      <c r="DH19" s="166"/>
      <c r="DI19" s="160"/>
      <c r="DJ19" s="160"/>
      <c r="DK19" s="160"/>
      <c r="DL19" s="162"/>
      <c r="DM19" s="162"/>
      <c r="DN19" s="162"/>
      <c r="DO19" s="162"/>
      <c r="DP19" s="162"/>
      <c r="DQ19" s="162"/>
      <c r="DR19" s="162"/>
      <c r="DS19" s="160"/>
      <c r="DT19" s="160"/>
      <c r="DU19" s="160"/>
      <c r="DV19" s="160"/>
      <c r="DW19" s="160"/>
      <c r="DX19" s="160"/>
      <c r="DY19" s="160"/>
      <c r="DZ19" s="162"/>
      <c r="EA19" s="162"/>
      <c r="EB19" s="162"/>
      <c r="EC19" s="162"/>
      <c r="ED19" s="162"/>
      <c r="EE19" s="162"/>
      <c r="EF19" s="162"/>
      <c r="EG19" s="160"/>
      <c r="EH19" s="160"/>
      <c r="EI19" s="160"/>
      <c r="EJ19" s="160"/>
      <c r="EK19" s="160"/>
      <c r="EL19" s="165"/>
      <c r="EM19" s="166"/>
      <c r="EN19" s="162"/>
      <c r="EO19" s="162"/>
      <c r="EP19" s="162"/>
      <c r="EQ19" s="162"/>
      <c r="ER19" s="162"/>
      <c r="ES19" s="162"/>
      <c r="ET19" s="162"/>
      <c r="EU19" s="160"/>
      <c r="EV19" s="160"/>
      <c r="EW19" s="160"/>
      <c r="EX19" s="160"/>
      <c r="EY19" s="160"/>
      <c r="EZ19" s="160"/>
      <c r="FA19" s="160"/>
      <c r="FB19" s="162"/>
      <c r="FC19" s="162"/>
      <c r="FD19" s="162"/>
      <c r="FE19" s="162"/>
      <c r="FF19" s="162"/>
      <c r="FG19" s="162"/>
      <c r="FH19" s="162"/>
      <c r="FI19" s="160"/>
      <c r="FJ19" s="160"/>
      <c r="FK19" s="160"/>
      <c r="FL19" s="160"/>
      <c r="FM19" s="160"/>
      <c r="FN19" s="160"/>
      <c r="FO19" s="160"/>
      <c r="FP19" s="162"/>
      <c r="FQ19" s="163"/>
      <c r="FR19" s="164"/>
      <c r="FS19" s="162"/>
      <c r="FT19" s="162"/>
      <c r="FU19" s="162"/>
      <c r="FV19" s="162"/>
      <c r="FW19" s="160"/>
      <c r="FX19" s="160"/>
      <c r="FY19" s="160"/>
      <c r="FZ19" s="160"/>
      <c r="GA19" s="160"/>
      <c r="GB19" s="160"/>
      <c r="GC19" s="160"/>
      <c r="GD19" s="162"/>
      <c r="GE19" s="162"/>
      <c r="GF19" s="162"/>
      <c r="GG19" s="162"/>
      <c r="GH19" s="162"/>
      <c r="GI19" s="162"/>
      <c r="GJ19" s="162"/>
      <c r="GK19" s="160"/>
      <c r="GL19" s="160"/>
      <c r="GM19" s="160"/>
      <c r="GN19" s="160"/>
      <c r="GO19" s="160"/>
      <c r="GP19" s="160"/>
      <c r="GQ19" s="160"/>
      <c r="GR19" s="162"/>
      <c r="GS19" s="162"/>
      <c r="GT19" s="162"/>
      <c r="GU19" s="163"/>
      <c r="GV19" s="164"/>
      <c r="GW19" s="162"/>
      <c r="GX19" s="162"/>
      <c r="GY19" s="160"/>
      <c r="GZ19" s="160"/>
      <c r="HA19" s="160"/>
      <c r="HB19" s="160"/>
      <c r="HC19" s="160"/>
      <c r="HD19" s="160"/>
      <c r="HE19" s="160"/>
      <c r="HF19" s="162"/>
      <c r="HG19" s="162"/>
      <c r="HH19" s="162"/>
      <c r="HI19" s="162"/>
      <c r="HJ19" s="162"/>
      <c r="HK19" s="162"/>
      <c r="HL19" s="162"/>
      <c r="HM19" s="160"/>
      <c r="HN19" s="160"/>
      <c r="HO19" s="160"/>
      <c r="HP19" s="160"/>
      <c r="HQ19" s="160"/>
      <c r="HR19" s="160"/>
      <c r="HS19" s="160"/>
      <c r="HT19" s="162"/>
      <c r="HU19" s="162"/>
      <c r="HV19" s="162"/>
      <c r="HW19" s="162"/>
      <c r="HX19" s="162"/>
      <c r="HY19" s="162"/>
      <c r="HZ19" s="163"/>
      <c r="IA19" s="166"/>
      <c r="IB19" s="160"/>
      <c r="IC19" s="160"/>
      <c r="ID19" s="160"/>
      <c r="IE19" s="160"/>
      <c r="IF19" s="160"/>
      <c r="IG19" s="160"/>
      <c r="IH19" s="162"/>
      <c r="II19" s="162"/>
      <c r="IJ19" s="162"/>
      <c r="IK19" s="162"/>
      <c r="IL19" s="162"/>
      <c r="IM19" s="162"/>
      <c r="IN19" s="162"/>
      <c r="IO19" s="160"/>
      <c r="IP19" s="160"/>
      <c r="IQ19" s="160"/>
      <c r="IR19" s="160"/>
      <c r="IS19" s="160"/>
      <c r="IT19" s="160"/>
      <c r="IU19" s="160"/>
      <c r="IV19" s="162"/>
      <c r="IW19" s="162"/>
      <c r="IX19" s="162"/>
      <c r="IY19" s="162"/>
      <c r="IZ19" s="162"/>
      <c r="JA19" s="162"/>
      <c r="JB19" s="162"/>
      <c r="JC19" s="160"/>
      <c r="JD19" s="165"/>
      <c r="JE19" s="166"/>
      <c r="JF19" s="160"/>
      <c r="JG19" s="160"/>
      <c r="JH19" s="160"/>
      <c r="JI19" s="160"/>
      <c r="JJ19" s="162"/>
      <c r="JK19" s="162"/>
      <c r="JL19" s="162"/>
      <c r="JM19" s="162"/>
      <c r="JN19" s="162"/>
      <c r="JO19" s="162"/>
      <c r="JP19" s="162"/>
      <c r="JQ19" s="160"/>
      <c r="JR19" s="160"/>
      <c r="JS19" s="160"/>
      <c r="JT19" s="160"/>
      <c r="JU19" s="160"/>
      <c r="JV19" s="160"/>
      <c r="JW19" s="160"/>
      <c r="JX19" s="162"/>
      <c r="JY19" s="162"/>
      <c r="JZ19" s="162"/>
      <c r="KA19" s="162"/>
      <c r="KB19" s="162"/>
      <c r="KC19" s="162"/>
      <c r="KD19" s="162"/>
      <c r="KE19" s="160"/>
      <c r="KF19" s="160"/>
      <c r="KG19" s="160"/>
      <c r="KH19" s="160"/>
      <c r="KI19" s="165"/>
      <c r="KJ19" s="166"/>
      <c r="KK19" s="160"/>
      <c r="KL19" s="162"/>
      <c r="KM19" s="162"/>
      <c r="KN19" s="162"/>
      <c r="KO19" s="162"/>
      <c r="KP19" s="162"/>
      <c r="KQ19" s="162"/>
      <c r="KR19" s="162"/>
      <c r="KS19" s="160"/>
      <c r="KT19" s="160"/>
      <c r="KU19" s="160"/>
      <c r="KV19" s="160"/>
      <c r="KW19" s="160"/>
      <c r="KX19" s="160"/>
      <c r="KY19" s="160"/>
      <c r="KZ19" s="162"/>
      <c r="LA19" s="162"/>
      <c r="LB19" s="162"/>
      <c r="LC19" s="162"/>
      <c r="LD19" s="162"/>
      <c r="LE19" s="162"/>
      <c r="LF19" s="162"/>
      <c r="LG19" s="160"/>
      <c r="LH19" s="160"/>
      <c r="LI19" s="160"/>
      <c r="LJ19" s="160"/>
      <c r="LK19" s="160"/>
      <c r="LL19" s="160"/>
      <c r="LM19" s="165"/>
    </row>
    <row r="20" spans="1:325" ht="16.5" outlineLevel="1">
      <c r="A20" s="13"/>
      <c r="B20" s="157" t="s">
        <v>216</v>
      </c>
      <c r="C20" s="214" t="s">
        <v>337</v>
      </c>
      <c r="D20" s="215"/>
      <c r="E20" s="215"/>
      <c r="F20" s="215"/>
      <c r="G20" s="218"/>
      <c r="H20" s="217"/>
      <c r="I20" s="217"/>
      <c r="J20" s="218"/>
      <c r="K20" s="219">
        <f>IF(AND(NOT(ISNUMBER(Gantt!$Q20)),NOT(ISNUMBER(Gantt!$N20))),"",IF(NOT(ISNUMBER(Gantt!$Q20)),0,Gantt!$Q20/Gantt!$N20))</f>
        <v>1</v>
      </c>
      <c r="L20" s="220">
        <v>43961</v>
      </c>
      <c r="M20" s="220">
        <v>43961</v>
      </c>
      <c r="N20" s="221">
        <f t="shared" si="0"/>
        <v>1</v>
      </c>
      <c r="O20" s="220">
        <v>43961</v>
      </c>
      <c r="P20" s="220">
        <v>43961</v>
      </c>
      <c r="Q20" s="221">
        <f t="shared" si="1"/>
        <v>1</v>
      </c>
      <c r="R20" s="221" t="str">
        <f t="shared" ca="1" si="2"/>
        <v>완료</v>
      </c>
      <c r="S20" s="158"/>
      <c r="T20" s="159"/>
      <c r="U20" s="162"/>
      <c r="V20" s="162"/>
      <c r="W20" s="162"/>
      <c r="X20" s="162"/>
      <c r="Y20" s="160"/>
      <c r="Z20" s="160"/>
      <c r="AA20" s="160"/>
      <c r="AB20" s="160"/>
      <c r="AC20" s="160"/>
      <c r="AD20" s="160"/>
      <c r="AE20" s="160"/>
      <c r="AF20" s="162"/>
      <c r="AG20" s="162"/>
      <c r="AH20" s="162"/>
      <c r="AI20" s="162"/>
      <c r="AJ20" s="162"/>
      <c r="AK20" s="162"/>
      <c r="AL20" s="162"/>
      <c r="AM20" s="160"/>
      <c r="AN20" s="160"/>
      <c r="AO20" s="160"/>
      <c r="AP20" s="193"/>
      <c r="AQ20" s="160"/>
      <c r="AR20" s="160"/>
      <c r="AS20" s="160"/>
      <c r="AT20" s="162"/>
      <c r="AU20" s="162"/>
      <c r="AV20" s="162"/>
      <c r="AW20" s="162"/>
      <c r="AX20" s="163"/>
      <c r="AY20" s="164"/>
      <c r="AZ20" s="162"/>
      <c r="BA20" s="160"/>
      <c r="BB20" s="160"/>
      <c r="BC20" s="160"/>
      <c r="BD20" s="160"/>
      <c r="BE20" s="160"/>
      <c r="BF20" s="160"/>
      <c r="BG20" s="160"/>
      <c r="BH20" s="162"/>
      <c r="BI20" s="168" t="s">
        <v>278</v>
      </c>
      <c r="BJ20" s="162"/>
      <c r="BK20" s="162"/>
      <c r="BL20" s="162"/>
      <c r="BM20" s="162"/>
      <c r="BN20" s="162"/>
      <c r="BO20" s="160"/>
      <c r="BP20" s="160"/>
      <c r="BQ20" s="160"/>
      <c r="BR20" s="160"/>
      <c r="BS20" s="160"/>
      <c r="BT20" s="160"/>
      <c r="BU20" s="160"/>
      <c r="BV20" s="162"/>
      <c r="BW20" s="162"/>
      <c r="BX20" s="162"/>
      <c r="BY20" s="162"/>
      <c r="BZ20" s="162"/>
      <c r="CA20" s="162"/>
      <c r="CB20" s="162"/>
      <c r="CC20" s="165"/>
      <c r="CD20" s="166"/>
      <c r="CE20" s="160"/>
      <c r="CF20" s="160"/>
      <c r="CG20" s="160"/>
      <c r="CH20" s="160"/>
      <c r="CI20" s="160"/>
      <c r="CJ20" s="162"/>
      <c r="CK20" s="162"/>
      <c r="CL20" s="162"/>
      <c r="CM20" s="162"/>
      <c r="CN20" s="162"/>
      <c r="CO20" s="162"/>
      <c r="CP20" s="162"/>
      <c r="CQ20" s="160"/>
      <c r="CR20" s="160"/>
      <c r="CS20" s="160"/>
      <c r="CT20" s="160"/>
      <c r="CU20" s="160"/>
      <c r="CV20" s="160"/>
      <c r="CW20" s="160"/>
      <c r="CX20" s="162"/>
      <c r="CY20" s="162"/>
      <c r="CZ20" s="162"/>
      <c r="DA20" s="162"/>
      <c r="DB20" s="162"/>
      <c r="DC20" s="162"/>
      <c r="DD20" s="162"/>
      <c r="DE20" s="160"/>
      <c r="DF20" s="160"/>
      <c r="DG20" s="165"/>
      <c r="DH20" s="166"/>
      <c r="DI20" s="160"/>
      <c r="DJ20" s="160"/>
      <c r="DK20" s="160"/>
      <c r="DL20" s="162"/>
      <c r="DM20" s="162"/>
      <c r="DN20" s="162"/>
      <c r="DO20" s="162"/>
      <c r="DP20" s="162"/>
      <c r="DQ20" s="162"/>
      <c r="DR20" s="162"/>
      <c r="DS20" s="160"/>
      <c r="DT20" s="160"/>
      <c r="DU20" s="160"/>
      <c r="DV20" s="160"/>
      <c r="DW20" s="160"/>
      <c r="DX20" s="160"/>
      <c r="DY20" s="160"/>
      <c r="DZ20" s="162"/>
      <c r="EA20" s="162"/>
      <c r="EB20" s="162"/>
      <c r="EC20" s="162"/>
      <c r="ED20" s="162"/>
      <c r="EE20" s="162"/>
      <c r="EF20" s="162"/>
      <c r="EG20" s="160"/>
      <c r="EH20" s="160"/>
      <c r="EI20" s="160"/>
      <c r="EJ20" s="160"/>
      <c r="EK20" s="160"/>
      <c r="EL20" s="165"/>
      <c r="EM20" s="166"/>
      <c r="EN20" s="162"/>
      <c r="EO20" s="162"/>
      <c r="EP20" s="162"/>
      <c r="EQ20" s="162"/>
      <c r="ER20" s="162"/>
      <c r="ES20" s="162"/>
      <c r="ET20" s="162"/>
      <c r="EU20" s="160"/>
      <c r="EV20" s="160"/>
      <c r="EW20" s="160"/>
      <c r="EX20" s="160"/>
      <c r="EY20" s="160"/>
      <c r="EZ20" s="160"/>
      <c r="FA20" s="160"/>
      <c r="FB20" s="162"/>
      <c r="FC20" s="162"/>
      <c r="FD20" s="162"/>
      <c r="FE20" s="162"/>
      <c r="FF20" s="162"/>
      <c r="FG20" s="162"/>
      <c r="FH20" s="162"/>
      <c r="FI20" s="160"/>
      <c r="FJ20" s="160"/>
      <c r="FK20" s="160"/>
      <c r="FL20" s="160"/>
      <c r="FM20" s="160"/>
      <c r="FN20" s="160"/>
      <c r="FO20" s="160"/>
      <c r="FP20" s="162"/>
      <c r="FQ20" s="163"/>
      <c r="FR20" s="164"/>
      <c r="FS20" s="162"/>
      <c r="FT20" s="162"/>
      <c r="FU20" s="162"/>
      <c r="FV20" s="162"/>
      <c r="FW20" s="160"/>
      <c r="FX20" s="160"/>
      <c r="FY20" s="160"/>
      <c r="FZ20" s="160"/>
      <c r="GA20" s="160"/>
      <c r="GB20" s="160"/>
      <c r="GC20" s="160"/>
      <c r="GD20" s="162"/>
      <c r="GE20" s="162"/>
      <c r="GF20" s="162"/>
      <c r="GG20" s="162"/>
      <c r="GH20" s="162"/>
      <c r="GI20" s="162"/>
      <c r="GJ20" s="162"/>
      <c r="GK20" s="160"/>
      <c r="GL20" s="160"/>
      <c r="GM20" s="160"/>
      <c r="GN20" s="160"/>
      <c r="GO20" s="160"/>
      <c r="GP20" s="160"/>
      <c r="GQ20" s="160"/>
      <c r="GR20" s="162"/>
      <c r="GS20" s="162"/>
      <c r="GT20" s="162"/>
      <c r="GU20" s="163"/>
      <c r="GV20" s="164"/>
      <c r="GW20" s="162"/>
      <c r="GX20" s="162"/>
      <c r="GY20" s="160"/>
      <c r="GZ20" s="160"/>
      <c r="HA20" s="160"/>
      <c r="HB20" s="160"/>
      <c r="HC20" s="160"/>
      <c r="HD20" s="160"/>
      <c r="HE20" s="160"/>
      <c r="HF20" s="162"/>
      <c r="HG20" s="162"/>
      <c r="HH20" s="162"/>
      <c r="HI20" s="162"/>
      <c r="HJ20" s="162"/>
      <c r="HK20" s="162"/>
      <c r="HL20" s="162"/>
      <c r="HM20" s="160"/>
      <c r="HN20" s="160"/>
      <c r="HO20" s="160"/>
      <c r="HP20" s="160"/>
      <c r="HQ20" s="160"/>
      <c r="HR20" s="160"/>
      <c r="HS20" s="160"/>
      <c r="HT20" s="162"/>
      <c r="HU20" s="162"/>
      <c r="HV20" s="162"/>
      <c r="HW20" s="162"/>
      <c r="HX20" s="162"/>
      <c r="HY20" s="162"/>
      <c r="HZ20" s="163"/>
      <c r="IA20" s="166"/>
      <c r="IB20" s="160"/>
      <c r="IC20" s="160"/>
      <c r="ID20" s="160"/>
      <c r="IE20" s="160"/>
      <c r="IF20" s="160"/>
      <c r="IG20" s="160"/>
      <c r="IH20" s="162"/>
      <c r="II20" s="162"/>
      <c r="IJ20" s="162"/>
      <c r="IK20" s="162"/>
      <c r="IL20" s="162"/>
      <c r="IM20" s="162"/>
      <c r="IN20" s="162"/>
      <c r="IO20" s="160"/>
      <c r="IP20" s="160"/>
      <c r="IQ20" s="160"/>
      <c r="IR20" s="160"/>
      <c r="IS20" s="160"/>
      <c r="IT20" s="160"/>
      <c r="IU20" s="160"/>
      <c r="IV20" s="162"/>
      <c r="IW20" s="162"/>
      <c r="IX20" s="162"/>
      <c r="IY20" s="162"/>
      <c r="IZ20" s="162"/>
      <c r="JA20" s="162"/>
      <c r="JB20" s="162"/>
      <c r="JC20" s="160"/>
      <c r="JD20" s="165"/>
      <c r="JE20" s="166"/>
      <c r="JF20" s="160"/>
      <c r="JG20" s="160"/>
      <c r="JH20" s="160"/>
      <c r="JI20" s="160"/>
      <c r="JJ20" s="162"/>
      <c r="JK20" s="162"/>
      <c r="JL20" s="162"/>
      <c r="JM20" s="162"/>
      <c r="JN20" s="162"/>
      <c r="JO20" s="162"/>
      <c r="JP20" s="162"/>
      <c r="JQ20" s="160"/>
      <c r="JR20" s="160"/>
      <c r="JS20" s="160"/>
      <c r="JT20" s="160"/>
      <c r="JU20" s="160"/>
      <c r="JV20" s="160"/>
      <c r="JW20" s="160"/>
      <c r="JX20" s="162"/>
      <c r="JY20" s="162"/>
      <c r="JZ20" s="162"/>
      <c r="KA20" s="162"/>
      <c r="KB20" s="162"/>
      <c r="KC20" s="162"/>
      <c r="KD20" s="162"/>
      <c r="KE20" s="160"/>
      <c r="KF20" s="160"/>
      <c r="KG20" s="160"/>
      <c r="KH20" s="160"/>
      <c r="KI20" s="165"/>
      <c r="KJ20" s="166"/>
      <c r="KK20" s="160"/>
      <c r="KL20" s="162"/>
      <c r="KM20" s="162"/>
      <c r="KN20" s="162"/>
      <c r="KO20" s="162"/>
      <c r="KP20" s="162"/>
      <c r="KQ20" s="162"/>
      <c r="KR20" s="162"/>
      <c r="KS20" s="160"/>
      <c r="KT20" s="160"/>
      <c r="KU20" s="160"/>
      <c r="KV20" s="160"/>
      <c r="KW20" s="160"/>
      <c r="KX20" s="160"/>
      <c r="KY20" s="160"/>
      <c r="KZ20" s="162"/>
      <c r="LA20" s="162"/>
      <c r="LB20" s="162"/>
      <c r="LC20" s="162"/>
      <c r="LD20" s="162"/>
      <c r="LE20" s="162"/>
      <c r="LF20" s="162"/>
      <c r="LG20" s="160"/>
      <c r="LH20" s="160"/>
      <c r="LI20" s="160"/>
      <c r="LJ20" s="160"/>
      <c r="LK20" s="160"/>
      <c r="LL20" s="160"/>
      <c r="LM20" s="165"/>
    </row>
    <row r="21" spans="1:325" ht="16.5" outlineLevel="1">
      <c r="A21" s="13"/>
      <c r="B21" s="157" t="s">
        <v>217</v>
      </c>
      <c r="C21" s="214" t="s">
        <v>338</v>
      </c>
      <c r="D21" s="215"/>
      <c r="E21" s="215"/>
      <c r="F21" s="215"/>
      <c r="G21" s="218"/>
      <c r="H21" s="217"/>
      <c r="I21" s="217"/>
      <c r="J21" s="218"/>
      <c r="K21" s="219">
        <f>IF(AND(NOT(ISNUMBER(Gantt!$Q21)),NOT(ISNUMBER(Gantt!$N21))),"",IF(NOT(ISNUMBER(Gantt!$Q21)),0,Gantt!$Q21/Gantt!$N21))</f>
        <v>1</v>
      </c>
      <c r="L21" s="220">
        <v>43962</v>
      </c>
      <c r="M21" s="220">
        <v>43962</v>
      </c>
      <c r="N21" s="221">
        <f t="shared" si="0"/>
        <v>1</v>
      </c>
      <c r="O21" s="220">
        <v>43962</v>
      </c>
      <c r="P21" s="220">
        <v>43962</v>
      </c>
      <c r="Q21" s="221">
        <f t="shared" si="1"/>
        <v>1</v>
      </c>
      <c r="R21" s="221" t="str">
        <f t="shared" ca="1" si="2"/>
        <v>완료</v>
      </c>
      <c r="S21" s="158"/>
      <c r="T21" s="159"/>
      <c r="U21" s="162"/>
      <c r="V21" s="162"/>
      <c r="W21" s="162"/>
      <c r="X21" s="162"/>
      <c r="Y21" s="160"/>
      <c r="Z21" s="160"/>
      <c r="AA21" s="160"/>
      <c r="AB21" s="160"/>
      <c r="AC21" s="160"/>
      <c r="AD21" s="160"/>
      <c r="AE21" s="160"/>
      <c r="AF21" s="162"/>
      <c r="AG21" s="162"/>
      <c r="AH21" s="162"/>
      <c r="AI21" s="162"/>
      <c r="AJ21" s="162"/>
      <c r="AK21" s="162"/>
      <c r="AL21" s="162"/>
      <c r="AM21" s="160"/>
      <c r="AN21" s="160"/>
      <c r="AO21" s="160"/>
      <c r="AP21" s="160"/>
      <c r="AQ21" s="193"/>
      <c r="AR21" s="160"/>
      <c r="AS21" s="160"/>
      <c r="AT21" s="162"/>
      <c r="AU21" s="162"/>
      <c r="AV21" s="162"/>
      <c r="AW21" s="162"/>
      <c r="AX21" s="163"/>
      <c r="AY21" s="164"/>
      <c r="AZ21" s="162"/>
      <c r="BA21" s="160"/>
      <c r="BB21" s="160"/>
      <c r="BC21" s="160"/>
      <c r="BD21" s="160"/>
      <c r="BE21" s="160"/>
      <c r="BF21" s="160"/>
      <c r="BG21" s="160"/>
      <c r="BH21" s="162"/>
      <c r="BI21" s="162"/>
      <c r="BJ21" s="168" t="s">
        <v>279</v>
      </c>
      <c r="BK21" s="162"/>
      <c r="BL21" s="162"/>
      <c r="BM21" s="162"/>
      <c r="BN21" s="162"/>
      <c r="BO21" s="160"/>
      <c r="BP21" s="160"/>
      <c r="BQ21" s="160"/>
      <c r="BR21" s="160"/>
      <c r="BS21" s="160"/>
      <c r="BT21" s="160"/>
      <c r="BU21" s="160"/>
      <c r="BV21" s="162"/>
      <c r="BW21" s="162"/>
      <c r="BX21" s="162"/>
      <c r="BY21" s="162"/>
      <c r="BZ21" s="162"/>
      <c r="CA21" s="162"/>
      <c r="CB21" s="162"/>
      <c r="CC21" s="165"/>
      <c r="CD21" s="166"/>
      <c r="CE21" s="160"/>
      <c r="CF21" s="160"/>
      <c r="CG21" s="160"/>
      <c r="CH21" s="160"/>
      <c r="CI21" s="160"/>
      <c r="CJ21" s="162"/>
      <c r="CK21" s="162"/>
      <c r="CL21" s="162"/>
      <c r="CM21" s="162"/>
      <c r="CN21" s="162"/>
      <c r="CO21" s="162"/>
      <c r="CP21" s="162"/>
      <c r="CQ21" s="160"/>
      <c r="CR21" s="160"/>
      <c r="CS21" s="160"/>
      <c r="CT21" s="160"/>
      <c r="CU21" s="160"/>
      <c r="CV21" s="160"/>
      <c r="CW21" s="160"/>
      <c r="CX21" s="162"/>
      <c r="CY21" s="162"/>
      <c r="CZ21" s="162"/>
      <c r="DA21" s="162"/>
      <c r="DB21" s="162"/>
      <c r="DC21" s="162"/>
      <c r="DD21" s="162"/>
      <c r="DE21" s="160"/>
      <c r="DF21" s="160"/>
      <c r="DG21" s="165"/>
      <c r="DH21" s="166"/>
      <c r="DI21" s="160"/>
      <c r="DJ21" s="160"/>
      <c r="DK21" s="160"/>
      <c r="DL21" s="162"/>
      <c r="DM21" s="162"/>
      <c r="DN21" s="162"/>
      <c r="DO21" s="162"/>
      <c r="DP21" s="162"/>
      <c r="DQ21" s="162"/>
      <c r="DR21" s="162"/>
      <c r="DS21" s="160"/>
      <c r="DT21" s="160"/>
      <c r="DU21" s="160"/>
      <c r="DV21" s="160"/>
      <c r="DW21" s="160"/>
      <c r="DX21" s="160"/>
      <c r="DY21" s="160"/>
      <c r="DZ21" s="162"/>
      <c r="EA21" s="162"/>
      <c r="EB21" s="162"/>
      <c r="EC21" s="162"/>
      <c r="ED21" s="162"/>
      <c r="EE21" s="162"/>
      <c r="EF21" s="162"/>
      <c r="EG21" s="160"/>
      <c r="EH21" s="160"/>
      <c r="EI21" s="160"/>
      <c r="EJ21" s="160"/>
      <c r="EK21" s="160"/>
      <c r="EL21" s="165"/>
      <c r="EM21" s="166"/>
      <c r="EN21" s="162"/>
      <c r="EO21" s="162"/>
      <c r="EP21" s="162"/>
      <c r="EQ21" s="162"/>
      <c r="ER21" s="162"/>
      <c r="ES21" s="162"/>
      <c r="ET21" s="162"/>
      <c r="EU21" s="160"/>
      <c r="EV21" s="160"/>
      <c r="EW21" s="160"/>
      <c r="EX21" s="160"/>
      <c r="EY21" s="160"/>
      <c r="EZ21" s="160"/>
      <c r="FA21" s="160"/>
      <c r="FB21" s="162"/>
      <c r="FC21" s="162"/>
      <c r="FD21" s="162"/>
      <c r="FE21" s="162"/>
      <c r="FF21" s="162"/>
      <c r="FG21" s="162"/>
      <c r="FH21" s="162"/>
      <c r="FI21" s="160"/>
      <c r="FJ21" s="160"/>
      <c r="FK21" s="160"/>
      <c r="FL21" s="160"/>
      <c r="FM21" s="160"/>
      <c r="FN21" s="160"/>
      <c r="FO21" s="160"/>
      <c r="FP21" s="162"/>
      <c r="FQ21" s="163"/>
      <c r="FR21" s="164"/>
      <c r="FS21" s="162"/>
      <c r="FT21" s="162"/>
      <c r="FU21" s="162"/>
      <c r="FV21" s="162"/>
      <c r="FW21" s="160"/>
      <c r="FX21" s="160"/>
      <c r="FY21" s="160"/>
      <c r="FZ21" s="160"/>
      <c r="GA21" s="160"/>
      <c r="GB21" s="160"/>
      <c r="GC21" s="160"/>
      <c r="GD21" s="162"/>
      <c r="GE21" s="162"/>
      <c r="GF21" s="162"/>
      <c r="GG21" s="162"/>
      <c r="GH21" s="162"/>
      <c r="GI21" s="162"/>
      <c r="GJ21" s="162"/>
      <c r="GK21" s="160"/>
      <c r="GL21" s="160"/>
      <c r="GM21" s="160"/>
      <c r="GN21" s="160"/>
      <c r="GO21" s="160"/>
      <c r="GP21" s="160"/>
      <c r="GQ21" s="160"/>
      <c r="GR21" s="162"/>
      <c r="GS21" s="162"/>
      <c r="GT21" s="162"/>
      <c r="GU21" s="163"/>
      <c r="GV21" s="164"/>
      <c r="GW21" s="162"/>
      <c r="GX21" s="162"/>
      <c r="GY21" s="160"/>
      <c r="GZ21" s="160"/>
      <c r="HA21" s="160"/>
      <c r="HB21" s="160"/>
      <c r="HC21" s="160"/>
      <c r="HD21" s="160"/>
      <c r="HE21" s="160"/>
      <c r="HF21" s="162"/>
      <c r="HG21" s="162"/>
      <c r="HH21" s="162"/>
      <c r="HI21" s="162"/>
      <c r="HJ21" s="162"/>
      <c r="HK21" s="162"/>
      <c r="HL21" s="162"/>
      <c r="HM21" s="160"/>
      <c r="HN21" s="160"/>
      <c r="HO21" s="160"/>
      <c r="HP21" s="160"/>
      <c r="HQ21" s="160"/>
      <c r="HR21" s="160"/>
      <c r="HS21" s="160"/>
      <c r="HT21" s="162"/>
      <c r="HU21" s="162"/>
      <c r="HV21" s="162"/>
      <c r="HW21" s="162"/>
      <c r="HX21" s="162"/>
      <c r="HY21" s="162"/>
      <c r="HZ21" s="163"/>
      <c r="IA21" s="166"/>
      <c r="IB21" s="160"/>
      <c r="IC21" s="160"/>
      <c r="ID21" s="160"/>
      <c r="IE21" s="160"/>
      <c r="IF21" s="160"/>
      <c r="IG21" s="160"/>
      <c r="IH21" s="162"/>
      <c r="II21" s="162"/>
      <c r="IJ21" s="162"/>
      <c r="IK21" s="162"/>
      <c r="IL21" s="162"/>
      <c r="IM21" s="162"/>
      <c r="IN21" s="162"/>
      <c r="IO21" s="160"/>
      <c r="IP21" s="160"/>
      <c r="IQ21" s="160"/>
      <c r="IR21" s="160"/>
      <c r="IS21" s="160"/>
      <c r="IT21" s="160"/>
      <c r="IU21" s="160"/>
      <c r="IV21" s="162"/>
      <c r="IW21" s="162"/>
      <c r="IX21" s="162"/>
      <c r="IY21" s="162"/>
      <c r="IZ21" s="162"/>
      <c r="JA21" s="162"/>
      <c r="JB21" s="162"/>
      <c r="JC21" s="160"/>
      <c r="JD21" s="165"/>
      <c r="JE21" s="166"/>
      <c r="JF21" s="160"/>
      <c r="JG21" s="160"/>
      <c r="JH21" s="160"/>
      <c r="JI21" s="160"/>
      <c r="JJ21" s="162"/>
      <c r="JK21" s="162"/>
      <c r="JL21" s="162"/>
      <c r="JM21" s="162"/>
      <c r="JN21" s="162"/>
      <c r="JO21" s="162"/>
      <c r="JP21" s="162"/>
      <c r="JQ21" s="160"/>
      <c r="JR21" s="160"/>
      <c r="JS21" s="160"/>
      <c r="JT21" s="160"/>
      <c r="JU21" s="160"/>
      <c r="JV21" s="160"/>
      <c r="JW21" s="160"/>
      <c r="JX21" s="162"/>
      <c r="JY21" s="162"/>
      <c r="JZ21" s="162"/>
      <c r="KA21" s="162"/>
      <c r="KB21" s="162"/>
      <c r="KC21" s="162"/>
      <c r="KD21" s="162"/>
      <c r="KE21" s="160"/>
      <c r="KF21" s="160"/>
      <c r="KG21" s="160"/>
      <c r="KH21" s="160"/>
      <c r="KI21" s="165"/>
      <c r="KJ21" s="166"/>
      <c r="KK21" s="160"/>
      <c r="KL21" s="162"/>
      <c r="KM21" s="162"/>
      <c r="KN21" s="162"/>
      <c r="KO21" s="162"/>
      <c r="KP21" s="162"/>
      <c r="KQ21" s="162"/>
      <c r="KR21" s="162"/>
      <c r="KS21" s="160"/>
      <c r="KT21" s="160"/>
      <c r="KU21" s="160"/>
      <c r="KV21" s="160"/>
      <c r="KW21" s="160"/>
      <c r="KX21" s="160"/>
      <c r="KY21" s="160"/>
      <c r="KZ21" s="162"/>
      <c r="LA21" s="162"/>
      <c r="LB21" s="162"/>
      <c r="LC21" s="162"/>
      <c r="LD21" s="162"/>
      <c r="LE21" s="162"/>
      <c r="LF21" s="162"/>
      <c r="LG21" s="160"/>
      <c r="LH21" s="160"/>
      <c r="LI21" s="160"/>
      <c r="LJ21" s="160"/>
      <c r="LK21" s="160"/>
      <c r="LL21" s="160"/>
      <c r="LM21" s="165"/>
    </row>
    <row r="22" spans="1:325" ht="16.5" outlineLevel="1">
      <c r="A22" s="13"/>
      <c r="B22" s="157" t="s">
        <v>218</v>
      </c>
      <c r="C22" s="214" t="s">
        <v>337</v>
      </c>
      <c r="D22" s="215"/>
      <c r="E22" s="215"/>
      <c r="F22" s="215"/>
      <c r="G22" s="216" t="s">
        <v>12</v>
      </c>
      <c r="H22" s="217"/>
      <c r="I22" s="217"/>
      <c r="J22" s="218"/>
      <c r="K22" s="219">
        <f>IF(AND(NOT(ISNUMBER(Gantt!$Q22)),NOT(ISNUMBER(Gantt!$N22))),"",IF(NOT(ISNUMBER(Gantt!$Q22)),0,Gantt!$Q22/Gantt!$N22))</f>
        <v>0</v>
      </c>
      <c r="L22" s="220">
        <v>43965</v>
      </c>
      <c r="M22" s="220">
        <v>43965</v>
      </c>
      <c r="N22" s="221">
        <f t="shared" si="0"/>
        <v>1</v>
      </c>
      <c r="O22" s="220"/>
      <c r="P22" s="220"/>
      <c r="Q22" s="221" t="str">
        <f t="shared" si="1"/>
        <v/>
      </c>
      <c r="R22" s="221" t="str">
        <f t="shared" ca="1" si="2"/>
        <v>지연</v>
      </c>
      <c r="S22" s="158"/>
      <c r="T22" s="159"/>
      <c r="U22" s="162"/>
      <c r="V22" s="162"/>
      <c r="W22" s="162"/>
      <c r="X22" s="162"/>
      <c r="Y22" s="160"/>
      <c r="Z22" s="160"/>
      <c r="AA22" s="160"/>
      <c r="AB22" s="160"/>
      <c r="AC22" s="160"/>
      <c r="AD22" s="160"/>
      <c r="AE22" s="160"/>
      <c r="AF22" s="162"/>
      <c r="AG22" s="162"/>
      <c r="AH22" s="162"/>
      <c r="AI22" s="162"/>
      <c r="AJ22" s="162"/>
      <c r="AK22" s="162"/>
      <c r="AL22" s="162"/>
      <c r="AM22" s="160"/>
      <c r="AN22" s="160"/>
      <c r="AO22" s="160"/>
      <c r="AP22" s="160"/>
      <c r="AQ22" s="160"/>
      <c r="AR22" s="160"/>
      <c r="AS22" s="160"/>
      <c r="AT22" s="194"/>
      <c r="AU22" s="162"/>
      <c r="AV22" s="162"/>
      <c r="AW22" s="162"/>
      <c r="AX22" s="163"/>
      <c r="AY22" s="164"/>
      <c r="AZ22" s="162"/>
      <c r="BA22" s="160"/>
      <c r="BB22" s="160"/>
      <c r="BC22" s="160"/>
      <c r="BD22" s="160"/>
      <c r="BE22" s="160"/>
      <c r="BF22" s="160"/>
      <c r="BG22" s="160"/>
      <c r="BH22" s="162"/>
      <c r="BI22" s="162"/>
      <c r="BJ22" s="162"/>
      <c r="BK22" s="162"/>
      <c r="BL22" s="162"/>
      <c r="BM22" s="168" t="s">
        <v>280</v>
      </c>
      <c r="BN22" s="162"/>
      <c r="BO22" s="160"/>
      <c r="BP22" s="160"/>
      <c r="BQ22" s="160"/>
      <c r="BR22" s="160"/>
      <c r="BS22" s="160"/>
      <c r="BT22" s="160"/>
      <c r="BU22" s="160"/>
      <c r="BV22" s="162"/>
      <c r="BW22" s="162"/>
      <c r="BX22" s="162"/>
      <c r="BY22" s="162"/>
      <c r="BZ22" s="162"/>
      <c r="CA22" s="162"/>
      <c r="CB22" s="162"/>
      <c r="CC22" s="165"/>
      <c r="CD22" s="166"/>
      <c r="CE22" s="160"/>
      <c r="CF22" s="160"/>
      <c r="CG22" s="160"/>
      <c r="CH22" s="160"/>
      <c r="CI22" s="160"/>
      <c r="CJ22" s="162"/>
      <c r="CK22" s="162"/>
      <c r="CL22" s="162"/>
      <c r="CM22" s="162"/>
      <c r="CN22" s="162"/>
      <c r="CO22" s="162"/>
      <c r="CP22" s="162"/>
      <c r="CQ22" s="160"/>
      <c r="CR22" s="160"/>
      <c r="CS22" s="160"/>
      <c r="CT22" s="160"/>
      <c r="CU22" s="160"/>
      <c r="CV22" s="160"/>
      <c r="CW22" s="160"/>
      <c r="CX22" s="162"/>
      <c r="CY22" s="162"/>
      <c r="CZ22" s="162"/>
      <c r="DA22" s="162"/>
      <c r="DB22" s="162"/>
      <c r="DC22" s="162"/>
      <c r="DD22" s="162"/>
      <c r="DE22" s="160"/>
      <c r="DF22" s="160"/>
      <c r="DG22" s="165"/>
      <c r="DH22" s="166"/>
      <c r="DI22" s="160"/>
      <c r="DJ22" s="160"/>
      <c r="DK22" s="160"/>
      <c r="DL22" s="162"/>
      <c r="DM22" s="162"/>
      <c r="DN22" s="162"/>
      <c r="DO22" s="162"/>
      <c r="DP22" s="162"/>
      <c r="DQ22" s="162"/>
      <c r="DR22" s="162"/>
      <c r="DS22" s="160"/>
      <c r="DT22" s="160"/>
      <c r="DU22" s="160"/>
      <c r="DV22" s="160"/>
      <c r="DW22" s="160"/>
      <c r="DX22" s="160"/>
      <c r="DY22" s="160"/>
      <c r="DZ22" s="162"/>
      <c r="EA22" s="162"/>
      <c r="EB22" s="162"/>
      <c r="EC22" s="162"/>
      <c r="ED22" s="162"/>
      <c r="EE22" s="162"/>
      <c r="EF22" s="162"/>
      <c r="EG22" s="160"/>
      <c r="EH22" s="160"/>
      <c r="EI22" s="160"/>
      <c r="EJ22" s="160"/>
      <c r="EK22" s="160"/>
      <c r="EL22" s="165"/>
      <c r="EM22" s="166"/>
      <c r="EN22" s="162"/>
      <c r="EO22" s="162"/>
      <c r="EP22" s="162"/>
      <c r="EQ22" s="162"/>
      <c r="ER22" s="162"/>
      <c r="ES22" s="162"/>
      <c r="ET22" s="162"/>
      <c r="EU22" s="160"/>
      <c r="EV22" s="160"/>
      <c r="EW22" s="160"/>
      <c r="EX22" s="160"/>
      <c r="EY22" s="160"/>
      <c r="EZ22" s="160"/>
      <c r="FA22" s="160"/>
      <c r="FB22" s="162"/>
      <c r="FC22" s="162"/>
      <c r="FD22" s="162"/>
      <c r="FE22" s="162"/>
      <c r="FF22" s="162"/>
      <c r="FG22" s="162"/>
      <c r="FH22" s="162"/>
      <c r="FI22" s="160"/>
      <c r="FJ22" s="160"/>
      <c r="FK22" s="160"/>
      <c r="FL22" s="160"/>
      <c r="FM22" s="160"/>
      <c r="FN22" s="160"/>
      <c r="FO22" s="160"/>
      <c r="FP22" s="162"/>
      <c r="FQ22" s="163"/>
      <c r="FR22" s="164"/>
      <c r="FS22" s="162"/>
      <c r="FT22" s="162"/>
      <c r="FU22" s="162"/>
      <c r="FV22" s="162"/>
      <c r="FW22" s="160"/>
      <c r="FX22" s="160"/>
      <c r="FY22" s="160"/>
      <c r="FZ22" s="160"/>
      <c r="GA22" s="160"/>
      <c r="GB22" s="160"/>
      <c r="GC22" s="160"/>
      <c r="GD22" s="162"/>
      <c r="GE22" s="162"/>
      <c r="GF22" s="162"/>
      <c r="GG22" s="162"/>
      <c r="GH22" s="162"/>
      <c r="GI22" s="162"/>
      <c r="GJ22" s="162"/>
      <c r="GK22" s="160"/>
      <c r="GL22" s="160"/>
      <c r="GM22" s="160"/>
      <c r="GN22" s="160"/>
      <c r="GO22" s="160"/>
      <c r="GP22" s="160"/>
      <c r="GQ22" s="160"/>
      <c r="GR22" s="162"/>
      <c r="GS22" s="162"/>
      <c r="GT22" s="162"/>
      <c r="GU22" s="163"/>
      <c r="GV22" s="164"/>
      <c r="GW22" s="162"/>
      <c r="GX22" s="162"/>
      <c r="GY22" s="160"/>
      <c r="GZ22" s="160"/>
      <c r="HA22" s="160"/>
      <c r="HB22" s="160"/>
      <c r="HC22" s="160"/>
      <c r="HD22" s="160"/>
      <c r="HE22" s="160"/>
      <c r="HF22" s="162"/>
      <c r="HG22" s="162"/>
      <c r="HH22" s="162"/>
      <c r="HI22" s="162"/>
      <c r="HJ22" s="162"/>
      <c r="HK22" s="162"/>
      <c r="HL22" s="162"/>
      <c r="HM22" s="160"/>
      <c r="HN22" s="160"/>
      <c r="HO22" s="160"/>
      <c r="HP22" s="160"/>
      <c r="HQ22" s="160"/>
      <c r="HR22" s="160"/>
      <c r="HS22" s="160"/>
      <c r="HT22" s="162"/>
      <c r="HU22" s="162"/>
      <c r="HV22" s="162"/>
      <c r="HW22" s="162"/>
      <c r="HX22" s="162"/>
      <c r="HY22" s="162"/>
      <c r="HZ22" s="163"/>
      <c r="IA22" s="166"/>
      <c r="IB22" s="160"/>
      <c r="IC22" s="160"/>
      <c r="ID22" s="160"/>
      <c r="IE22" s="160"/>
      <c r="IF22" s="160"/>
      <c r="IG22" s="160"/>
      <c r="IH22" s="162"/>
      <c r="II22" s="162"/>
      <c r="IJ22" s="162"/>
      <c r="IK22" s="162"/>
      <c r="IL22" s="162"/>
      <c r="IM22" s="162"/>
      <c r="IN22" s="162"/>
      <c r="IO22" s="160"/>
      <c r="IP22" s="160"/>
      <c r="IQ22" s="160"/>
      <c r="IR22" s="160"/>
      <c r="IS22" s="160"/>
      <c r="IT22" s="160"/>
      <c r="IU22" s="160"/>
      <c r="IV22" s="162"/>
      <c r="IW22" s="162"/>
      <c r="IX22" s="162"/>
      <c r="IY22" s="162"/>
      <c r="IZ22" s="162"/>
      <c r="JA22" s="162"/>
      <c r="JB22" s="162"/>
      <c r="JC22" s="160"/>
      <c r="JD22" s="165"/>
      <c r="JE22" s="166"/>
      <c r="JF22" s="160"/>
      <c r="JG22" s="160"/>
      <c r="JH22" s="160"/>
      <c r="JI22" s="160"/>
      <c r="JJ22" s="162"/>
      <c r="JK22" s="162"/>
      <c r="JL22" s="162"/>
      <c r="JM22" s="162"/>
      <c r="JN22" s="162"/>
      <c r="JO22" s="162"/>
      <c r="JP22" s="162"/>
      <c r="JQ22" s="160"/>
      <c r="JR22" s="160"/>
      <c r="JS22" s="160"/>
      <c r="JT22" s="160"/>
      <c r="JU22" s="160"/>
      <c r="JV22" s="160"/>
      <c r="JW22" s="160"/>
      <c r="JX22" s="162"/>
      <c r="JY22" s="162"/>
      <c r="JZ22" s="162"/>
      <c r="KA22" s="162"/>
      <c r="KB22" s="162"/>
      <c r="KC22" s="162"/>
      <c r="KD22" s="162"/>
      <c r="KE22" s="160"/>
      <c r="KF22" s="160"/>
      <c r="KG22" s="160"/>
      <c r="KH22" s="160"/>
      <c r="KI22" s="165"/>
      <c r="KJ22" s="166"/>
      <c r="KK22" s="160"/>
      <c r="KL22" s="162"/>
      <c r="KM22" s="162"/>
      <c r="KN22" s="162"/>
      <c r="KO22" s="162"/>
      <c r="KP22" s="162"/>
      <c r="KQ22" s="162"/>
      <c r="KR22" s="162"/>
      <c r="KS22" s="160"/>
      <c r="KT22" s="160"/>
      <c r="KU22" s="160"/>
      <c r="KV22" s="160"/>
      <c r="KW22" s="160"/>
      <c r="KX22" s="160"/>
      <c r="KY22" s="160"/>
      <c r="KZ22" s="162"/>
      <c r="LA22" s="162"/>
      <c r="LB22" s="162"/>
      <c r="LC22" s="162"/>
      <c r="LD22" s="162"/>
      <c r="LE22" s="162"/>
      <c r="LF22" s="162"/>
      <c r="LG22" s="160"/>
      <c r="LH22" s="160"/>
      <c r="LI22" s="160"/>
      <c r="LJ22" s="160"/>
      <c r="LK22" s="160"/>
      <c r="LL22" s="160"/>
      <c r="LM22" s="165"/>
    </row>
    <row r="23" spans="1:325" ht="16.5">
      <c r="A23" s="13"/>
      <c r="B23" s="174" t="s">
        <v>13</v>
      </c>
      <c r="C23" s="200" t="s">
        <v>339</v>
      </c>
      <c r="D23" s="201"/>
      <c r="E23" s="201"/>
      <c r="F23" s="201"/>
      <c r="G23" s="233"/>
      <c r="H23" s="234"/>
      <c r="I23" s="234"/>
      <c r="J23" s="201" t="s">
        <v>17</v>
      </c>
      <c r="K23" s="235">
        <f ca="1">IF(AND(NOT(ISNUMBER(Gantt!$Q23)),NOT(ISNUMBER(Gantt!$N23))),"",IF(NOT(ISNUMBER(Gantt!$Q23)),0,Gantt!$Q23/Gantt!$N23))</f>
        <v>110.05555555555556</v>
      </c>
      <c r="L23" s="236">
        <v>43985</v>
      </c>
      <c r="M23" s="236">
        <v>44002</v>
      </c>
      <c r="N23" s="237">
        <f t="shared" si="0"/>
        <v>18</v>
      </c>
      <c r="O23" s="236">
        <v>43985</v>
      </c>
      <c r="P23" s="236"/>
      <c r="Q23" s="237">
        <f t="shared" ca="1" si="1"/>
        <v>1981</v>
      </c>
      <c r="R23" s="237" t="str">
        <f t="shared" ca="1" si="2"/>
        <v>지연</v>
      </c>
      <c r="S23" s="189"/>
      <c r="T23" s="176"/>
      <c r="U23" s="178"/>
      <c r="V23" s="178"/>
      <c r="W23" s="178"/>
      <c r="X23" s="178"/>
      <c r="Y23" s="177"/>
      <c r="Z23" s="177"/>
      <c r="AA23" s="177"/>
      <c r="AB23" s="177"/>
      <c r="AC23" s="177"/>
      <c r="AD23" s="177"/>
      <c r="AE23" s="177"/>
      <c r="AF23" s="178"/>
      <c r="AG23" s="178"/>
      <c r="AH23" s="178"/>
      <c r="AI23" s="178"/>
      <c r="AJ23" s="178"/>
      <c r="AK23" s="178"/>
      <c r="AL23" s="178"/>
      <c r="AM23" s="177"/>
      <c r="AN23" s="177"/>
      <c r="AO23" s="177"/>
      <c r="AP23" s="177"/>
      <c r="AQ23" s="177"/>
      <c r="AR23" s="177"/>
      <c r="AS23" s="177"/>
      <c r="AT23" s="195"/>
      <c r="AU23" s="178"/>
      <c r="AV23" s="178"/>
      <c r="AW23" s="178"/>
      <c r="AX23" s="179"/>
      <c r="AY23" s="180"/>
      <c r="AZ23" s="178"/>
      <c r="BA23" s="177"/>
      <c r="BB23" s="177"/>
      <c r="BC23" s="177"/>
      <c r="BD23" s="177"/>
      <c r="BE23" s="177"/>
      <c r="BF23" s="177"/>
      <c r="BG23" s="177"/>
      <c r="BH23" s="178"/>
      <c r="BI23" s="178"/>
      <c r="BJ23" s="178"/>
      <c r="BK23" s="178"/>
      <c r="BL23" s="178"/>
      <c r="BM23" s="195"/>
      <c r="BN23" s="178"/>
      <c r="BO23" s="177"/>
      <c r="BP23" s="177"/>
      <c r="BQ23" s="177"/>
      <c r="BR23" s="177"/>
      <c r="BS23" s="177"/>
      <c r="BT23" s="177"/>
      <c r="BU23" s="177"/>
      <c r="BV23" s="178"/>
      <c r="BW23" s="178"/>
      <c r="BX23" s="178"/>
      <c r="BY23" s="178"/>
      <c r="BZ23" s="178"/>
      <c r="CA23" s="178"/>
      <c r="CB23" s="178"/>
      <c r="CC23" s="181"/>
      <c r="CD23" s="182"/>
      <c r="CE23" s="177"/>
      <c r="CF23" s="177"/>
      <c r="CG23" s="177"/>
      <c r="CH23" s="177"/>
      <c r="CI23" s="177"/>
      <c r="CJ23" s="178"/>
      <c r="CK23" s="178"/>
      <c r="CL23" s="178"/>
      <c r="CM23" s="178"/>
      <c r="CN23" s="178"/>
      <c r="CO23" s="178"/>
      <c r="CP23" s="178"/>
      <c r="CQ23" s="177"/>
      <c r="CR23" s="177"/>
      <c r="CS23" s="177"/>
      <c r="CT23" s="177"/>
      <c r="CU23" s="177"/>
      <c r="CV23" s="177"/>
      <c r="CW23" s="177"/>
      <c r="CX23" s="183" t="s">
        <v>323</v>
      </c>
      <c r="CY23" s="178"/>
      <c r="CZ23" s="178"/>
      <c r="DA23" s="178"/>
      <c r="DB23" s="178"/>
      <c r="DC23" s="178"/>
      <c r="DD23" s="178"/>
      <c r="DE23" s="177"/>
      <c r="DF23" s="177"/>
      <c r="DG23" s="181"/>
      <c r="DH23" s="182"/>
      <c r="DI23" s="177"/>
      <c r="DJ23" s="177"/>
      <c r="DK23" s="177"/>
      <c r="DL23" s="178"/>
      <c r="DM23" s="178"/>
      <c r="DN23" s="178"/>
      <c r="DO23" s="178"/>
      <c r="DP23" s="178"/>
      <c r="DQ23" s="178"/>
      <c r="DR23" s="178"/>
      <c r="DS23" s="177"/>
      <c r="DT23" s="177"/>
      <c r="DU23" s="177"/>
      <c r="DV23" s="177"/>
      <c r="DW23" s="177"/>
      <c r="DX23" s="177"/>
      <c r="DY23" s="177"/>
      <c r="DZ23" s="178"/>
      <c r="EA23" s="178"/>
      <c r="EB23" s="178"/>
      <c r="EC23" s="178"/>
      <c r="ED23" s="178"/>
      <c r="EE23" s="178"/>
      <c r="EF23" s="178"/>
      <c r="EG23" s="177"/>
      <c r="EH23" s="177"/>
      <c r="EI23" s="177"/>
      <c r="EJ23" s="177"/>
      <c r="EK23" s="177"/>
      <c r="EL23" s="181"/>
      <c r="EM23" s="182"/>
      <c r="EN23" s="178"/>
      <c r="EO23" s="178"/>
      <c r="EP23" s="178"/>
      <c r="EQ23" s="178"/>
      <c r="ER23" s="178"/>
      <c r="ES23" s="178"/>
      <c r="ET23" s="178"/>
      <c r="EU23" s="177"/>
      <c r="EV23" s="177"/>
      <c r="EW23" s="177"/>
      <c r="EX23" s="177"/>
      <c r="EY23" s="177"/>
      <c r="EZ23" s="177"/>
      <c r="FA23" s="177"/>
      <c r="FB23" s="178"/>
      <c r="FC23" s="178"/>
      <c r="FD23" s="178"/>
      <c r="FE23" s="178"/>
      <c r="FF23" s="178"/>
      <c r="FG23" s="178"/>
      <c r="FH23" s="178"/>
      <c r="FI23" s="177"/>
      <c r="FJ23" s="177"/>
      <c r="FK23" s="177"/>
      <c r="FL23" s="177"/>
      <c r="FM23" s="177"/>
      <c r="FN23" s="177"/>
      <c r="FO23" s="177"/>
      <c r="FP23" s="178"/>
      <c r="FQ23" s="179"/>
      <c r="FR23" s="180"/>
      <c r="FS23" s="178"/>
      <c r="FT23" s="178"/>
      <c r="FU23" s="178"/>
      <c r="FV23" s="178"/>
      <c r="FW23" s="177"/>
      <c r="FX23" s="177"/>
      <c r="FY23" s="177"/>
      <c r="FZ23" s="177"/>
      <c r="GA23" s="177"/>
      <c r="GB23" s="177"/>
      <c r="GC23" s="177"/>
      <c r="GD23" s="178"/>
      <c r="GE23" s="178"/>
      <c r="GF23" s="178"/>
      <c r="GG23" s="178"/>
      <c r="GH23" s="178"/>
      <c r="GI23" s="178"/>
      <c r="GJ23" s="178"/>
      <c r="GK23" s="177"/>
      <c r="GL23" s="177"/>
      <c r="GM23" s="177"/>
      <c r="GN23" s="177"/>
      <c r="GO23" s="177"/>
      <c r="GP23" s="177"/>
      <c r="GQ23" s="177"/>
      <c r="GR23" s="178"/>
      <c r="GS23" s="178"/>
      <c r="GT23" s="178"/>
      <c r="GU23" s="179"/>
      <c r="GV23" s="180"/>
      <c r="GW23" s="178"/>
      <c r="GX23" s="178"/>
      <c r="GY23" s="177"/>
      <c r="GZ23" s="177"/>
      <c r="HA23" s="177"/>
      <c r="HB23" s="177"/>
      <c r="HC23" s="177"/>
      <c r="HD23" s="177"/>
      <c r="HE23" s="177"/>
      <c r="HF23" s="178"/>
      <c r="HG23" s="178"/>
      <c r="HH23" s="178"/>
      <c r="HI23" s="178"/>
      <c r="HJ23" s="178"/>
      <c r="HK23" s="178"/>
      <c r="HL23" s="178"/>
      <c r="HM23" s="177"/>
      <c r="HN23" s="177"/>
      <c r="HO23" s="177"/>
      <c r="HP23" s="177"/>
      <c r="HQ23" s="177"/>
      <c r="HR23" s="177"/>
      <c r="HS23" s="177"/>
      <c r="HT23" s="178"/>
      <c r="HU23" s="178"/>
      <c r="HV23" s="178"/>
      <c r="HW23" s="178"/>
      <c r="HX23" s="178"/>
      <c r="HY23" s="178"/>
      <c r="HZ23" s="179"/>
      <c r="IA23" s="182"/>
      <c r="IB23" s="177"/>
      <c r="IC23" s="177"/>
      <c r="ID23" s="177"/>
      <c r="IE23" s="177"/>
      <c r="IF23" s="177"/>
      <c r="IG23" s="177"/>
      <c r="IH23" s="178"/>
      <c r="II23" s="178"/>
      <c r="IJ23" s="178"/>
      <c r="IK23" s="178"/>
      <c r="IL23" s="178"/>
      <c r="IM23" s="178"/>
      <c r="IN23" s="178"/>
      <c r="IO23" s="177"/>
      <c r="IP23" s="177"/>
      <c r="IQ23" s="177"/>
      <c r="IR23" s="177"/>
      <c r="IS23" s="177"/>
      <c r="IT23" s="177"/>
      <c r="IU23" s="177"/>
      <c r="IV23" s="178"/>
      <c r="IW23" s="178"/>
      <c r="IX23" s="178"/>
      <c r="IY23" s="178"/>
      <c r="IZ23" s="178"/>
      <c r="JA23" s="178"/>
      <c r="JB23" s="178"/>
      <c r="JC23" s="177"/>
      <c r="JD23" s="181"/>
      <c r="JE23" s="182"/>
      <c r="JF23" s="177"/>
      <c r="JG23" s="177"/>
      <c r="JH23" s="177"/>
      <c r="JI23" s="177"/>
      <c r="JJ23" s="178"/>
      <c r="JK23" s="178"/>
      <c r="JL23" s="178"/>
      <c r="JM23" s="178"/>
      <c r="JN23" s="178"/>
      <c r="JO23" s="178"/>
      <c r="JP23" s="178"/>
      <c r="JQ23" s="177"/>
      <c r="JR23" s="177"/>
      <c r="JS23" s="177"/>
      <c r="JT23" s="177"/>
      <c r="JU23" s="177"/>
      <c r="JV23" s="177"/>
      <c r="JW23" s="177"/>
      <c r="JX23" s="178"/>
      <c r="JY23" s="178"/>
      <c r="JZ23" s="178"/>
      <c r="KA23" s="178"/>
      <c r="KB23" s="178"/>
      <c r="KC23" s="178"/>
      <c r="KD23" s="178"/>
      <c r="KE23" s="177"/>
      <c r="KF23" s="177"/>
      <c r="KG23" s="177"/>
      <c r="KH23" s="177"/>
      <c r="KI23" s="181"/>
      <c r="KJ23" s="182"/>
      <c r="KK23" s="177"/>
      <c r="KL23" s="178"/>
      <c r="KM23" s="178"/>
      <c r="KN23" s="178"/>
      <c r="KO23" s="178"/>
      <c r="KP23" s="178"/>
      <c r="KQ23" s="178"/>
      <c r="KR23" s="178"/>
      <c r="KS23" s="177"/>
      <c r="KT23" s="177"/>
      <c r="KU23" s="177"/>
      <c r="KV23" s="177"/>
      <c r="KW23" s="177"/>
      <c r="KX23" s="177"/>
      <c r="KY23" s="177"/>
      <c r="KZ23" s="178"/>
      <c r="LA23" s="178"/>
      <c r="LB23" s="178"/>
      <c r="LC23" s="178"/>
      <c r="LD23" s="178"/>
      <c r="LE23" s="178"/>
      <c r="LF23" s="178"/>
      <c r="LG23" s="177"/>
      <c r="LH23" s="177"/>
      <c r="LI23" s="177"/>
      <c r="LJ23" s="177"/>
      <c r="LK23" s="177"/>
      <c r="LL23" s="177"/>
      <c r="LM23" s="181"/>
    </row>
    <row r="24" spans="1:325" ht="16.5">
      <c r="A24" s="14"/>
      <c r="B24" s="174" t="s">
        <v>63</v>
      </c>
      <c r="C24" s="200" t="s">
        <v>340</v>
      </c>
      <c r="D24" s="201"/>
      <c r="E24" s="201"/>
      <c r="F24" s="201"/>
      <c r="G24" s="202" t="s">
        <v>40</v>
      </c>
      <c r="H24" s="203"/>
      <c r="I24" s="203"/>
      <c r="J24" s="238"/>
      <c r="K24" s="204">
        <f ca="1">IF(AND(NOT(ISNUMBER(Gantt!$Q24)),NOT(ISNUMBER(Gantt!$N24))),"",IF(NOT(ISNUMBER(Gantt!$Q24)),0,Gantt!$Q24/Gantt!$N24))</f>
        <v>285.85714285714283</v>
      </c>
      <c r="L24" s="205">
        <v>43965</v>
      </c>
      <c r="M24" s="205">
        <v>43971</v>
      </c>
      <c r="N24" s="206">
        <f t="shared" si="0"/>
        <v>7</v>
      </c>
      <c r="O24" s="205">
        <v>43965</v>
      </c>
      <c r="P24" s="205"/>
      <c r="Q24" s="206">
        <f t="shared" ca="1" si="1"/>
        <v>2001</v>
      </c>
      <c r="R24" s="206" t="str">
        <f t="shared" ca="1" si="2"/>
        <v>지연</v>
      </c>
      <c r="S24" s="189"/>
      <c r="T24" s="176"/>
      <c r="U24" s="178"/>
      <c r="V24" s="178"/>
      <c r="W24" s="178"/>
      <c r="X24" s="178"/>
      <c r="Y24" s="177"/>
      <c r="Z24" s="177"/>
      <c r="AA24" s="177"/>
      <c r="AB24" s="177"/>
      <c r="AC24" s="177"/>
      <c r="AD24" s="177"/>
      <c r="AE24" s="177"/>
      <c r="AF24" s="178"/>
      <c r="AG24" s="178"/>
      <c r="AH24" s="178"/>
      <c r="AI24" s="178"/>
      <c r="AJ24" s="178"/>
      <c r="AK24" s="178"/>
      <c r="AL24" s="178"/>
      <c r="AM24" s="177"/>
      <c r="AN24" s="177"/>
      <c r="AO24" s="177"/>
      <c r="AP24" s="177"/>
      <c r="AQ24" s="177"/>
      <c r="AR24" s="177"/>
      <c r="AS24" s="177"/>
      <c r="AT24" s="178"/>
      <c r="AU24" s="178"/>
      <c r="AV24" s="178"/>
      <c r="AW24" s="178"/>
      <c r="AX24" s="179"/>
      <c r="AY24" s="180"/>
      <c r="AZ24" s="195"/>
      <c r="BA24" s="177"/>
      <c r="BB24" s="177"/>
      <c r="BC24" s="177"/>
      <c r="BD24" s="177"/>
      <c r="BE24" s="177"/>
      <c r="BF24" s="177"/>
      <c r="BG24" s="177"/>
      <c r="BH24" s="178"/>
      <c r="BI24" s="178"/>
      <c r="BJ24" s="178"/>
      <c r="BK24" s="178"/>
      <c r="BL24" s="178"/>
      <c r="BM24" s="178"/>
      <c r="BN24" s="178"/>
      <c r="BO24" s="177"/>
      <c r="BP24" s="177"/>
      <c r="BQ24" s="177"/>
      <c r="BR24" s="177"/>
      <c r="BS24" s="186" t="s">
        <v>324</v>
      </c>
      <c r="BT24" s="177"/>
      <c r="BU24" s="177"/>
      <c r="BV24" s="178"/>
      <c r="BW24" s="178"/>
      <c r="BX24" s="178"/>
      <c r="BY24" s="178"/>
      <c r="BZ24" s="178"/>
      <c r="CA24" s="178"/>
      <c r="CB24" s="178"/>
      <c r="CC24" s="181"/>
      <c r="CD24" s="182"/>
      <c r="CE24" s="177"/>
      <c r="CF24" s="177"/>
      <c r="CG24" s="177"/>
      <c r="CH24" s="177"/>
      <c r="CI24" s="177"/>
      <c r="CJ24" s="178"/>
      <c r="CK24" s="178"/>
      <c r="CL24" s="178"/>
      <c r="CM24" s="178"/>
      <c r="CN24" s="178"/>
      <c r="CO24" s="178"/>
      <c r="CP24" s="178"/>
      <c r="CQ24" s="177"/>
      <c r="CR24" s="177"/>
      <c r="CS24" s="177"/>
      <c r="CT24" s="177"/>
      <c r="CU24" s="177"/>
      <c r="CV24" s="177"/>
      <c r="CW24" s="177"/>
      <c r="CX24" s="178"/>
      <c r="CY24" s="178"/>
      <c r="CZ24" s="178"/>
      <c r="DA24" s="178"/>
      <c r="DB24" s="178"/>
      <c r="DC24" s="178"/>
      <c r="DD24" s="178"/>
      <c r="DE24" s="177"/>
      <c r="DF24" s="177"/>
      <c r="DG24" s="181"/>
      <c r="DH24" s="182"/>
      <c r="DI24" s="177"/>
      <c r="DJ24" s="177"/>
      <c r="DK24" s="177"/>
      <c r="DL24" s="178"/>
      <c r="DM24" s="178"/>
      <c r="DN24" s="178"/>
      <c r="DO24" s="178"/>
      <c r="DP24" s="178"/>
      <c r="DQ24" s="178"/>
      <c r="DR24" s="178"/>
      <c r="DS24" s="177"/>
      <c r="DT24" s="177"/>
      <c r="DU24" s="177"/>
      <c r="DV24" s="177"/>
      <c r="DW24" s="177"/>
      <c r="DX24" s="177"/>
      <c r="DY24" s="177"/>
      <c r="DZ24" s="178"/>
      <c r="EA24" s="178"/>
      <c r="EB24" s="178"/>
      <c r="EC24" s="178"/>
      <c r="ED24" s="178"/>
      <c r="EE24" s="178"/>
      <c r="EF24" s="178"/>
      <c r="EG24" s="177"/>
      <c r="EH24" s="177"/>
      <c r="EI24" s="177"/>
      <c r="EJ24" s="177"/>
      <c r="EK24" s="177"/>
      <c r="EL24" s="181"/>
      <c r="EM24" s="182"/>
      <c r="EN24" s="178"/>
      <c r="EO24" s="178"/>
      <c r="EP24" s="178"/>
      <c r="EQ24" s="178"/>
      <c r="ER24" s="178"/>
      <c r="ES24" s="178"/>
      <c r="ET24" s="178"/>
      <c r="EU24" s="177"/>
      <c r="EV24" s="177"/>
      <c r="EW24" s="177"/>
      <c r="EX24" s="177"/>
      <c r="EY24" s="177"/>
      <c r="EZ24" s="177"/>
      <c r="FA24" s="177"/>
      <c r="FB24" s="178"/>
      <c r="FC24" s="178"/>
      <c r="FD24" s="178"/>
      <c r="FE24" s="178"/>
      <c r="FF24" s="178"/>
      <c r="FG24" s="178"/>
      <c r="FH24" s="178"/>
      <c r="FI24" s="177"/>
      <c r="FJ24" s="177"/>
      <c r="FK24" s="177"/>
      <c r="FL24" s="177"/>
      <c r="FM24" s="177"/>
      <c r="FN24" s="177"/>
      <c r="FO24" s="177"/>
      <c r="FP24" s="178"/>
      <c r="FQ24" s="179"/>
      <c r="FR24" s="180"/>
      <c r="FS24" s="178"/>
      <c r="FT24" s="178"/>
      <c r="FU24" s="178"/>
      <c r="FV24" s="178"/>
      <c r="FW24" s="177"/>
      <c r="FX24" s="177"/>
      <c r="FY24" s="177"/>
      <c r="FZ24" s="177"/>
      <c r="GA24" s="177"/>
      <c r="GB24" s="177"/>
      <c r="GC24" s="177"/>
      <c r="GD24" s="178"/>
      <c r="GE24" s="178"/>
      <c r="GF24" s="178"/>
      <c r="GG24" s="178"/>
      <c r="GH24" s="178"/>
      <c r="GI24" s="178"/>
      <c r="GJ24" s="178"/>
      <c r="GK24" s="177"/>
      <c r="GL24" s="177"/>
      <c r="GM24" s="177"/>
      <c r="GN24" s="177"/>
      <c r="GO24" s="177"/>
      <c r="GP24" s="177"/>
      <c r="GQ24" s="177"/>
      <c r="GR24" s="178"/>
      <c r="GS24" s="178"/>
      <c r="GT24" s="178"/>
      <c r="GU24" s="179"/>
      <c r="GV24" s="180"/>
      <c r="GW24" s="178"/>
      <c r="GX24" s="178"/>
      <c r="GY24" s="177"/>
      <c r="GZ24" s="177"/>
      <c r="HA24" s="177"/>
      <c r="HB24" s="177"/>
      <c r="HC24" s="177"/>
      <c r="HD24" s="177"/>
      <c r="HE24" s="177"/>
      <c r="HF24" s="178"/>
      <c r="HG24" s="178"/>
      <c r="HH24" s="178"/>
      <c r="HI24" s="178"/>
      <c r="HJ24" s="178"/>
      <c r="HK24" s="178"/>
      <c r="HL24" s="178"/>
      <c r="HM24" s="177"/>
      <c r="HN24" s="177"/>
      <c r="HO24" s="177"/>
      <c r="HP24" s="177"/>
      <c r="HQ24" s="177"/>
      <c r="HR24" s="177"/>
      <c r="HS24" s="177"/>
      <c r="HT24" s="178"/>
      <c r="HU24" s="178"/>
      <c r="HV24" s="178"/>
      <c r="HW24" s="178"/>
      <c r="HX24" s="178"/>
      <c r="HY24" s="178"/>
      <c r="HZ24" s="179"/>
      <c r="IA24" s="182"/>
      <c r="IB24" s="177"/>
      <c r="IC24" s="177"/>
      <c r="ID24" s="177"/>
      <c r="IE24" s="177"/>
      <c r="IF24" s="177"/>
      <c r="IG24" s="177"/>
      <c r="IH24" s="178"/>
      <c r="II24" s="178"/>
      <c r="IJ24" s="178"/>
      <c r="IK24" s="178"/>
      <c r="IL24" s="178"/>
      <c r="IM24" s="178"/>
      <c r="IN24" s="178"/>
      <c r="IO24" s="177"/>
      <c r="IP24" s="177"/>
      <c r="IQ24" s="177"/>
      <c r="IR24" s="177"/>
      <c r="IS24" s="177"/>
      <c r="IT24" s="177"/>
      <c r="IU24" s="177"/>
      <c r="IV24" s="178"/>
      <c r="IW24" s="178"/>
      <c r="IX24" s="178"/>
      <c r="IY24" s="178"/>
      <c r="IZ24" s="178"/>
      <c r="JA24" s="178"/>
      <c r="JB24" s="178"/>
      <c r="JC24" s="177"/>
      <c r="JD24" s="181"/>
      <c r="JE24" s="182"/>
      <c r="JF24" s="177"/>
      <c r="JG24" s="177"/>
      <c r="JH24" s="177"/>
      <c r="JI24" s="177"/>
      <c r="JJ24" s="178"/>
      <c r="JK24" s="178"/>
      <c r="JL24" s="178"/>
      <c r="JM24" s="178"/>
      <c r="JN24" s="178"/>
      <c r="JO24" s="178"/>
      <c r="JP24" s="178"/>
      <c r="JQ24" s="177"/>
      <c r="JR24" s="177"/>
      <c r="JS24" s="177"/>
      <c r="JT24" s="177"/>
      <c r="JU24" s="177"/>
      <c r="JV24" s="177"/>
      <c r="JW24" s="177"/>
      <c r="JX24" s="178"/>
      <c r="JY24" s="178"/>
      <c r="JZ24" s="178"/>
      <c r="KA24" s="178"/>
      <c r="KB24" s="178"/>
      <c r="KC24" s="178"/>
      <c r="KD24" s="178"/>
      <c r="KE24" s="177"/>
      <c r="KF24" s="177"/>
      <c r="KG24" s="177"/>
      <c r="KH24" s="177"/>
      <c r="KI24" s="181"/>
      <c r="KJ24" s="182"/>
      <c r="KK24" s="177"/>
      <c r="KL24" s="178"/>
      <c r="KM24" s="178"/>
      <c r="KN24" s="178"/>
      <c r="KO24" s="178"/>
      <c r="KP24" s="178"/>
      <c r="KQ24" s="178"/>
      <c r="KR24" s="178"/>
      <c r="KS24" s="177"/>
      <c r="KT24" s="177"/>
      <c r="KU24" s="177"/>
      <c r="KV24" s="177"/>
      <c r="KW24" s="177"/>
      <c r="KX24" s="177"/>
      <c r="KY24" s="177"/>
      <c r="KZ24" s="178"/>
      <c r="LA24" s="178"/>
      <c r="LB24" s="178"/>
      <c r="LC24" s="178"/>
      <c r="LD24" s="178"/>
      <c r="LE24" s="178"/>
      <c r="LF24" s="178"/>
      <c r="LG24" s="177"/>
      <c r="LH24" s="177"/>
      <c r="LI24" s="177"/>
      <c r="LJ24" s="177"/>
      <c r="LK24" s="177"/>
      <c r="LL24" s="177"/>
      <c r="LM24" s="181"/>
    </row>
    <row r="25" spans="1:325" ht="16.5">
      <c r="A25" s="14"/>
      <c r="B25" s="174" t="s">
        <v>23</v>
      </c>
      <c r="C25" s="200" t="s">
        <v>341</v>
      </c>
      <c r="D25" s="201"/>
      <c r="E25" s="201"/>
      <c r="F25" s="201"/>
      <c r="G25" s="202" t="s">
        <v>63</v>
      </c>
      <c r="H25" s="203" t="s">
        <v>0</v>
      </c>
      <c r="I25" s="203"/>
      <c r="J25" s="238" t="s">
        <v>17</v>
      </c>
      <c r="K25" s="204">
        <f>IF(AND(NOT(ISNUMBER(Gantt!$Q25)),NOT(ISNUMBER(Gantt!$N25))),"",IF(NOT(ISNUMBER(Gantt!$Q25)),0,Gantt!$Q25/Gantt!$N25))</f>
        <v>0.8</v>
      </c>
      <c r="L25" s="205">
        <v>43976</v>
      </c>
      <c r="M25" s="205">
        <v>43980</v>
      </c>
      <c r="N25" s="206">
        <f t="shared" si="0"/>
        <v>5</v>
      </c>
      <c r="O25" s="205">
        <v>43941</v>
      </c>
      <c r="P25" s="205">
        <v>43944</v>
      </c>
      <c r="Q25" s="206">
        <f t="shared" si="1"/>
        <v>4</v>
      </c>
      <c r="R25" s="206" t="str">
        <f t="shared" ca="1" si="2"/>
        <v>완료</v>
      </c>
      <c r="S25" s="189"/>
      <c r="T25" s="176"/>
      <c r="U25" s="178"/>
      <c r="V25" s="178"/>
      <c r="W25" s="178"/>
      <c r="X25" s="178"/>
      <c r="Y25" s="177"/>
      <c r="Z25" s="177"/>
      <c r="AA25" s="177"/>
      <c r="AB25" s="177"/>
      <c r="AC25" s="177"/>
      <c r="AD25" s="177"/>
      <c r="AE25" s="177"/>
      <c r="AF25" s="178"/>
      <c r="AG25" s="178"/>
      <c r="AH25" s="178"/>
      <c r="AI25" s="178"/>
      <c r="AJ25" s="178"/>
      <c r="AK25" s="178"/>
      <c r="AL25" s="178"/>
      <c r="AM25" s="177"/>
      <c r="AN25" s="177"/>
      <c r="AO25" s="177"/>
      <c r="AP25" s="177"/>
      <c r="AQ25" s="177"/>
      <c r="AR25" s="177"/>
      <c r="AS25" s="177"/>
      <c r="AT25" s="178"/>
      <c r="AU25" s="178"/>
      <c r="AV25" s="178"/>
      <c r="AW25" s="178"/>
      <c r="AX25" s="179"/>
      <c r="AY25" s="180"/>
      <c r="AZ25" s="178"/>
      <c r="BA25" s="177"/>
      <c r="BB25" s="177"/>
      <c r="BC25" s="177"/>
      <c r="BD25" s="177"/>
      <c r="BE25" s="177"/>
      <c r="BF25" s="177"/>
      <c r="BG25" s="177"/>
      <c r="BH25" s="178"/>
      <c r="BI25" s="195"/>
      <c r="BJ25" s="178"/>
      <c r="BK25" s="178"/>
      <c r="BL25" s="178"/>
      <c r="BM25" s="178"/>
      <c r="BN25" s="178"/>
      <c r="BO25" s="177"/>
      <c r="BP25" s="177"/>
      <c r="BQ25" s="177"/>
      <c r="BR25" s="177"/>
      <c r="BS25" s="177"/>
      <c r="BT25" s="177"/>
      <c r="BU25" s="177"/>
      <c r="BV25" s="178"/>
      <c r="BW25" s="178"/>
      <c r="BX25" s="178"/>
      <c r="BY25" s="178"/>
      <c r="BZ25" s="178"/>
      <c r="CA25" s="178"/>
      <c r="CB25" s="183" t="s">
        <v>281</v>
      </c>
      <c r="CC25" s="181"/>
      <c r="CD25" s="182"/>
      <c r="CE25" s="177"/>
      <c r="CF25" s="177"/>
      <c r="CG25" s="177"/>
      <c r="CH25" s="177"/>
      <c r="CI25" s="177"/>
      <c r="CJ25" s="178"/>
      <c r="CK25" s="178"/>
      <c r="CL25" s="178"/>
      <c r="CM25" s="178"/>
      <c r="CN25" s="178"/>
      <c r="CO25" s="178"/>
      <c r="CP25" s="178"/>
      <c r="CQ25" s="177"/>
      <c r="CR25" s="177"/>
      <c r="CS25" s="177"/>
      <c r="CT25" s="177"/>
      <c r="CU25" s="177"/>
      <c r="CV25" s="177"/>
      <c r="CW25" s="177"/>
      <c r="CX25" s="178"/>
      <c r="CY25" s="178"/>
      <c r="CZ25" s="178"/>
      <c r="DA25" s="178"/>
      <c r="DB25" s="178"/>
      <c r="DC25" s="178"/>
      <c r="DD25" s="178"/>
      <c r="DE25" s="177"/>
      <c r="DF25" s="177"/>
      <c r="DG25" s="181"/>
      <c r="DH25" s="182"/>
      <c r="DI25" s="177"/>
      <c r="DJ25" s="177"/>
      <c r="DK25" s="177"/>
      <c r="DL25" s="178"/>
      <c r="DM25" s="178"/>
      <c r="DN25" s="178"/>
      <c r="DO25" s="178"/>
      <c r="DP25" s="178"/>
      <c r="DQ25" s="178"/>
      <c r="DR25" s="178"/>
      <c r="DS25" s="177"/>
      <c r="DT25" s="177"/>
      <c r="DU25" s="177"/>
      <c r="DV25" s="177"/>
      <c r="DW25" s="177"/>
      <c r="DX25" s="177"/>
      <c r="DY25" s="177"/>
      <c r="DZ25" s="178"/>
      <c r="EA25" s="178"/>
      <c r="EB25" s="178"/>
      <c r="EC25" s="178"/>
      <c r="ED25" s="178"/>
      <c r="EE25" s="178"/>
      <c r="EF25" s="178"/>
      <c r="EG25" s="177"/>
      <c r="EH25" s="177"/>
      <c r="EI25" s="177"/>
      <c r="EJ25" s="177"/>
      <c r="EK25" s="177"/>
      <c r="EL25" s="181"/>
      <c r="EM25" s="182"/>
      <c r="EN25" s="178"/>
      <c r="EO25" s="178"/>
      <c r="EP25" s="178"/>
      <c r="EQ25" s="178"/>
      <c r="ER25" s="178"/>
      <c r="ES25" s="178"/>
      <c r="ET25" s="178"/>
      <c r="EU25" s="177"/>
      <c r="EV25" s="177"/>
      <c r="EW25" s="177"/>
      <c r="EX25" s="177"/>
      <c r="EY25" s="177"/>
      <c r="EZ25" s="177"/>
      <c r="FA25" s="177"/>
      <c r="FB25" s="178"/>
      <c r="FC25" s="178"/>
      <c r="FD25" s="178"/>
      <c r="FE25" s="178"/>
      <c r="FF25" s="178"/>
      <c r="FG25" s="178"/>
      <c r="FH25" s="178"/>
      <c r="FI25" s="177"/>
      <c r="FJ25" s="177"/>
      <c r="FK25" s="177"/>
      <c r="FL25" s="177"/>
      <c r="FM25" s="177"/>
      <c r="FN25" s="177"/>
      <c r="FO25" s="177"/>
      <c r="FP25" s="178"/>
      <c r="FQ25" s="179"/>
      <c r="FR25" s="180"/>
      <c r="FS25" s="178"/>
      <c r="FT25" s="178"/>
      <c r="FU25" s="178"/>
      <c r="FV25" s="178"/>
      <c r="FW25" s="177"/>
      <c r="FX25" s="177"/>
      <c r="FY25" s="177"/>
      <c r="FZ25" s="177"/>
      <c r="GA25" s="177"/>
      <c r="GB25" s="177"/>
      <c r="GC25" s="177"/>
      <c r="GD25" s="178"/>
      <c r="GE25" s="178"/>
      <c r="GF25" s="178"/>
      <c r="GG25" s="178"/>
      <c r="GH25" s="178"/>
      <c r="GI25" s="178"/>
      <c r="GJ25" s="178"/>
      <c r="GK25" s="177"/>
      <c r="GL25" s="177"/>
      <c r="GM25" s="177"/>
      <c r="GN25" s="177"/>
      <c r="GO25" s="177"/>
      <c r="GP25" s="177"/>
      <c r="GQ25" s="177"/>
      <c r="GR25" s="178"/>
      <c r="GS25" s="178"/>
      <c r="GT25" s="178"/>
      <c r="GU25" s="179"/>
      <c r="GV25" s="180"/>
      <c r="GW25" s="178"/>
      <c r="GX25" s="178"/>
      <c r="GY25" s="177"/>
      <c r="GZ25" s="177"/>
      <c r="HA25" s="177"/>
      <c r="HB25" s="177"/>
      <c r="HC25" s="177"/>
      <c r="HD25" s="177"/>
      <c r="HE25" s="177"/>
      <c r="HF25" s="178"/>
      <c r="HG25" s="178"/>
      <c r="HH25" s="178"/>
      <c r="HI25" s="178"/>
      <c r="HJ25" s="178"/>
      <c r="HK25" s="178"/>
      <c r="HL25" s="178"/>
      <c r="HM25" s="177"/>
      <c r="HN25" s="177"/>
      <c r="HO25" s="177"/>
      <c r="HP25" s="177"/>
      <c r="HQ25" s="177"/>
      <c r="HR25" s="177"/>
      <c r="HS25" s="177"/>
      <c r="HT25" s="178"/>
      <c r="HU25" s="178"/>
      <c r="HV25" s="178"/>
      <c r="HW25" s="178"/>
      <c r="HX25" s="178"/>
      <c r="HY25" s="178"/>
      <c r="HZ25" s="179"/>
      <c r="IA25" s="182"/>
      <c r="IB25" s="177"/>
      <c r="IC25" s="177"/>
      <c r="ID25" s="177"/>
      <c r="IE25" s="177"/>
      <c r="IF25" s="177"/>
      <c r="IG25" s="177"/>
      <c r="IH25" s="178"/>
      <c r="II25" s="178"/>
      <c r="IJ25" s="178"/>
      <c r="IK25" s="178"/>
      <c r="IL25" s="178"/>
      <c r="IM25" s="178"/>
      <c r="IN25" s="178"/>
      <c r="IO25" s="177"/>
      <c r="IP25" s="177"/>
      <c r="IQ25" s="177"/>
      <c r="IR25" s="177"/>
      <c r="IS25" s="177"/>
      <c r="IT25" s="177"/>
      <c r="IU25" s="177"/>
      <c r="IV25" s="178"/>
      <c r="IW25" s="178"/>
      <c r="IX25" s="178"/>
      <c r="IY25" s="178"/>
      <c r="IZ25" s="178"/>
      <c r="JA25" s="178"/>
      <c r="JB25" s="178"/>
      <c r="JC25" s="177"/>
      <c r="JD25" s="181"/>
      <c r="JE25" s="182"/>
      <c r="JF25" s="177"/>
      <c r="JG25" s="177"/>
      <c r="JH25" s="177"/>
      <c r="JI25" s="177"/>
      <c r="JJ25" s="178"/>
      <c r="JK25" s="178"/>
      <c r="JL25" s="178"/>
      <c r="JM25" s="178"/>
      <c r="JN25" s="178"/>
      <c r="JO25" s="178"/>
      <c r="JP25" s="178"/>
      <c r="JQ25" s="177"/>
      <c r="JR25" s="177"/>
      <c r="JS25" s="177"/>
      <c r="JT25" s="177"/>
      <c r="JU25" s="177"/>
      <c r="JV25" s="177"/>
      <c r="JW25" s="177"/>
      <c r="JX25" s="178"/>
      <c r="JY25" s="178"/>
      <c r="JZ25" s="178"/>
      <c r="KA25" s="178"/>
      <c r="KB25" s="178"/>
      <c r="KC25" s="178"/>
      <c r="KD25" s="178"/>
      <c r="KE25" s="177"/>
      <c r="KF25" s="177"/>
      <c r="KG25" s="177"/>
      <c r="KH25" s="177"/>
      <c r="KI25" s="181"/>
      <c r="KJ25" s="182"/>
      <c r="KK25" s="177"/>
      <c r="KL25" s="178"/>
      <c r="KM25" s="178"/>
      <c r="KN25" s="178"/>
      <c r="KO25" s="178"/>
      <c r="KP25" s="178"/>
      <c r="KQ25" s="178"/>
      <c r="KR25" s="178"/>
      <c r="KS25" s="177"/>
      <c r="KT25" s="177"/>
      <c r="KU25" s="177"/>
      <c r="KV25" s="177"/>
      <c r="KW25" s="177"/>
      <c r="KX25" s="177"/>
      <c r="KY25" s="177"/>
      <c r="KZ25" s="178"/>
      <c r="LA25" s="178"/>
      <c r="LB25" s="178"/>
      <c r="LC25" s="178"/>
      <c r="LD25" s="178"/>
      <c r="LE25" s="178"/>
      <c r="LF25" s="178"/>
      <c r="LG25" s="177"/>
      <c r="LH25" s="177"/>
      <c r="LI25" s="177"/>
      <c r="LJ25" s="177"/>
      <c r="LK25" s="177"/>
      <c r="LL25" s="177"/>
      <c r="LM25" s="181"/>
    </row>
    <row r="26" spans="1:325" ht="16.5">
      <c r="A26" s="87"/>
      <c r="B26" s="184" t="s">
        <v>27</v>
      </c>
      <c r="C26" s="207" t="s">
        <v>342</v>
      </c>
      <c r="D26" s="208"/>
      <c r="E26" s="208"/>
      <c r="F26" s="208"/>
      <c r="G26" s="209"/>
      <c r="H26" s="210"/>
      <c r="I26" s="210"/>
      <c r="J26" s="208"/>
      <c r="K26" s="211">
        <f>IF(AND(NOT(ISNUMBER(Gantt!$Q26)),NOT(ISNUMBER(Gantt!$N26))),"",IF(NOT(ISNUMBER(Gantt!$Q26)),0,Gantt!$Q26/Gantt!$N26))</f>
        <v>5</v>
      </c>
      <c r="L26" s="212">
        <v>43976</v>
      </c>
      <c r="M26" s="212">
        <v>43976</v>
      </c>
      <c r="N26" s="213">
        <f t="shared" si="0"/>
        <v>1</v>
      </c>
      <c r="O26" s="212">
        <v>43941</v>
      </c>
      <c r="P26" s="212">
        <v>43945</v>
      </c>
      <c r="Q26" s="213">
        <f t="shared" si="1"/>
        <v>5</v>
      </c>
      <c r="R26" s="213" t="str">
        <f t="shared" ca="1" si="2"/>
        <v>완료</v>
      </c>
      <c r="S26" s="185"/>
      <c r="T26" s="176"/>
      <c r="U26" s="178"/>
      <c r="V26" s="178"/>
      <c r="W26" s="178"/>
      <c r="X26" s="178"/>
      <c r="Y26" s="177"/>
      <c r="Z26" s="177"/>
      <c r="AA26" s="177"/>
      <c r="AB26" s="177"/>
      <c r="AC26" s="177"/>
      <c r="AD26" s="177"/>
      <c r="AE26" s="177"/>
      <c r="AF26" s="178"/>
      <c r="AG26" s="178"/>
      <c r="AH26" s="178"/>
      <c r="AI26" s="178"/>
      <c r="AJ26" s="178"/>
      <c r="AK26" s="178"/>
      <c r="AL26" s="178"/>
      <c r="AM26" s="177"/>
      <c r="AN26" s="177"/>
      <c r="AO26" s="177"/>
      <c r="AP26" s="177"/>
      <c r="AQ26" s="177"/>
      <c r="AR26" s="177"/>
      <c r="AS26" s="177"/>
      <c r="AT26" s="178"/>
      <c r="AU26" s="178"/>
      <c r="AV26" s="178"/>
      <c r="AW26" s="178"/>
      <c r="AX26" s="179"/>
      <c r="AY26" s="180"/>
      <c r="AZ26" s="178"/>
      <c r="BA26" s="177"/>
      <c r="BB26" s="177"/>
      <c r="BC26" s="177"/>
      <c r="BD26" s="177"/>
      <c r="BE26" s="196"/>
      <c r="BF26" s="177"/>
      <c r="BG26" s="177"/>
      <c r="BH26" s="178"/>
      <c r="BI26" s="178"/>
      <c r="BJ26" s="178"/>
      <c r="BK26" s="178"/>
      <c r="BL26" s="178"/>
      <c r="BM26" s="178"/>
      <c r="BN26" s="178"/>
      <c r="BO26" s="177"/>
      <c r="BP26" s="177"/>
      <c r="BQ26" s="177"/>
      <c r="BR26" s="177"/>
      <c r="BS26" s="177"/>
      <c r="BT26" s="177"/>
      <c r="BU26" s="177"/>
      <c r="BV26" s="178"/>
      <c r="BW26" s="178"/>
      <c r="BX26" s="183" t="s">
        <v>282</v>
      </c>
      <c r="BY26" s="178"/>
      <c r="BZ26" s="178"/>
      <c r="CA26" s="178"/>
      <c r="CB26" s="178"/>
      <c r="CC26" s="181"/>
      <c r="CD26" s="182"/>
      <c r="CE26" s="177"/>
      <c r="CF26" s="177"/>
      <c r="CG26" s="177"/>
      <c r="CH26" s="177"/>
      <c r="CI26" s="177"/>
      <c r="CJ26" s="178"/>
      <c r="CK26" s="178"/>
      <c r="CL26" s="178"/>
      <c r="CM26" s="178"/>
      <c r="CN26" s="178"/>
      <c r="CO26" s="178"/>
      <c r="CP26" s="178"/>
      <c r="CQ26" s="177"/>
      <c r="CR26" s="177"/>
      <c r="CS26" s="177"/>
      <c r="CT26" s="177"/>
      <c r="CU26" s="177"/>
      <c r="CV26" s="177"/>
      <c r="CW26" s="177"/>
      <c r="CX26" s="178"/>
      <c r="CY26" s="178"/>
      <c r="CZ26" s="178"/>
      <c r="DA26" s="178"/>
      <c r="DB26" s="178"/>
      <c r="DC26" s="178"/>
      <c r="DD26" s="178"/>
      <c r="DE26" s="177"/>
      <c r="DF26" s="177"/>
      <c r="DG26" s="181"/>
      <c r="DH26" s="182"/>
      <c r="DI26" s="177"/>
      <c r="DJ26" s="177"/>
      <c r="DK26" s="177"/>
      <c r="DL26" s="178"/>
      <c r="DM26" s="178"/>
      <c r="DN26" s="178"/>
      <c r="DO26" s="178"/>
      <c r="DP26" s="178"/>
      <c r="DQ26" s="178"/>
      <c r="DR26" s="178"/>
      <c r="DS26" s="177"/>
      <c r="DT26" s="177"/>
      <c r="DU26" s="177"/>
      <c r="DV26" s="177"/>
      <c r="DW26" s="177"/>
      <c r="DX26" s="177"/>
      <c r="DY26" s="177"/>
      <c r="DZ26" s="178"/>
      <c r="EA26" s="178"/>
      <c r="EB26" s="178"/>
      <c r="EC26" s="178"/>
      <c r="ED26" s="178"/>
      <c r="EE26" s="178"/>
      <c r="EF26" s="178"/>
      <c r="EG26" s="177"/>
      <c r="EH26" s="177"/>
      <c r="EI26" s="177"/>
      <c r="EJ26" s="177"/>
      <c r="EK26" s="177"/>
      <c r="EL26" s="181"/>
      <c r="EM26" s="182"/>
      <c r="EN26" s="178"/>
      <c r="EO26" s="178"/>
      <c r="EP26" s="178"/>
      <c r="EQ26" s="178"/>
      <c r="ER26" s="178"/>
      <c r="ES26" s="178"/>
      <c r="ET26" s="178"/>
      <c r="EU26" s="177"/>
      <c r="EV26" s="177"/>
      <c r="EW26" s="177"/>
      <c r="EX26" s="177"/>
      <c r="EY26" s="177"/>
      <c r="EZ26" s="177"/>
      <c r="FA26" s="177"/>
      <c r="FB26" s="178"/>
      <c r="FC26" s="178"/>
      <c r="FD26" s="178"/>
      <c r="FE26" s="178"/>
      <c r="FF26" s="178"/>
      <c r="FG26" s="178"/>
      <c r="FH26" s="178"/>
      <c r="FI26" s="177"/>
      <c r="FJ26" s="177"/>
      <c r="FK26" s="177"/>
      <c r="FL26" s="177"/>
      <c r="FM26" s="177"/>
      <c r="FN26" s="177"/>
      <c r="FO26" s="177"/>
      <c r="FP26" s="178"/>
      <c r="FQ26" s="179"/>
      <c r="FR26" s="180"/>
      <c r="FS26" s="178"/>
      <c r="FT26" s="178"/>
      <c r="FU26" s="178"/>
      <c r="FV26" s="178"/>
      <c r="FW26" s="177"/>
      <c r="FX26" s="177"/>
      <c r="FY26" s="177"/>
      <c r="FZ26" s="177"/>
      <c r="GA26" s="177"/>
      <c r="GB26" s="177"/>
      <c r="GC26" s="177"/>
      <c r="GD26" s="178"/>
      <c r="GE26" s="178"/>
      <c r="GF26" s="178"/>
      <c r="GG26" s="178"/>
      <c r="GH26" s="178"/>
      <c r="GI26" s="178"/>
      <c r="GJ26" s="178"/>
      <c r="GK26" s="177"/>
      <c r="GL26" s="177"/>
      <c r="GM26" s="177"/>
      <c r="GN26" s="177"/>
      <c r="GO26" s="177"/>
      <c r="GP26" s="177"/>
      <c r="GQ26" s="177"/>
      <c r="GR26" s="178"/>
      <c r="GS26" s="178"/>
      <c r="GT26" s="178"/>
      <c r="GU26" s="179"/>
      <c r="GV26" s="180"/>
      <c r="GW26" s="178"/>
      <c r="GX26" s="178"/>
      <c r="GY26" s="177"/>
      <c r="GZ26" s="177"/>
      <c r="HA26" s="177"/>
      <c r="HB26" s="177"/>
      <c r="HC26" s="177"/>
      <c r="HD26" s="177"/>
      <c r="HE26" s="177"/>
      <c r="HF26" s="178"/>
      <c r="HG26" s="178"/>
      <c r="HH26" s="178"/>
      <c r="HI26" s="178"/>
      <c r="HJ26" s="178"/>
      <c r="HK26" s="178"/>
      <c r="HL26" s="178"/>
      <c r="HM26" s="177"/>
      <c r="HN26" s="177"/>
      <c r="HO26" s="177"/>
      <c r="HP26" s="177"/>
      <c r="HQ26" s="177"/>
      <c r="HR26" s="177"/>
      <c r="HS26" s="177"/>
      <c r="HT26" s="178"/>
      <c r="HU26" s="178"/>
      <c r="HV26" s="178"/>
      <c r="HW26" s="178"/>
      <c r="HX26" s="178"/>
      <c r="HY26" s="178"/>
      <c r="HZ26" s="179"/>
      <c r="IA26" s="182"/>
      <c r="IB26" s="177"/>
      <c r="IC26" s="177"/>
      <c r="ID26" s="177"/>
      <c r="IE26" s="177"/>
      <c r="IF26" s="177"/>
      <c r="IG26" s="177"/>
      <c r="IH26" s="178"/>
      <c r="II26" s="178"/>
      <c r="IJ26" s="178"/>
      <c r="IK26" s="178"/>
      <c r="IL26" s="178"/>
      <c r="IM26" s="178"/>
      <c r="IN26" s="178"/>
      <c r="IO26" s="177"/>
      <c r="IP26" s="177"/>
      <c r="IQ26" s="177"/>
      <c r="IR26" s="177"/>
      <c r="IS26" s="177"/>
      <c r="IT26" s="177"/>
      <c r="IU26" s="177"/>
      <c r="IV26" s="178"/>
      <c r="IW26" s="178"/>
      <c r="IX26" s="178"/>
      <c r="IY26" s="178"/>
      <c r="IZ26" s="178"/>
      <c r="JA26" s="178"/>
      <c r="JB26" s="178"/>
      <c r="JC26" s="177"/>
      <c r="JD26" s="181"/>
      <c r="JE26" s="182"/>
      <c r="JF26" s="177"/>
      <c r="JG26" s="177"/>
      <c r="JH26" s="177"/>
      <c r="JI26" s="177"/>
      <c r="JJ26" s="178"/>
      <c r="JK26" s="178"/>
      <c r="JL26" s="178"/>
      <c r="JM26" s="178"/>
      <c r="JN26" s="178"/>
      <c r="JO26" s="178"/>
      <c r="JP26" s="178"/>
      <c r="JQ26" s="177"/>
      <c r="JR26" s="177"/>
      <c r="JS26" s="177"/>
      <c r="JT26" s="177"/>
      <c r="JU26" s="177"/>
      <c r="JV26" s="177"/>
      <c r="JW26" s="177"/>
      <c r="JX26" s="178"/>
      <c r="JY26" s="178"/>
      <c r="JZ26" s="178"/>
      <c r="KA26" s="178"/>
      <c r="KB26" s="178"/>
      <c r="KC26" s="178"/>
      <c r="KD26" s="178"/>
      <c r="KE26" s="177"/>
      <c r="KF26" s="177"/>
      <c r="KG26" s="177"/>
      <c r="KH26" s="177"/>
      <c r="KI26" s="181"/>
      <c r="KJ26" s="182"/>
      <c r="KK26" s="177"/>
      <c r="KL26" s="178"/>
      <c r="KM26" s="178"/>
      <c r="KN26" s="178"/>
      <c r="KO26" s="178"/>
      <c r="KP26" s="178"/>
      <c r="KQ26" s="178"/>
      <c r="KR26" s="178"/>
      <c r="KS26" s="177"/>
      <c r="KT26" s="177"/>
      <c r="KU26" s="177"/>
      <c r="KV26" s="177"/>
      <c r="KW26" s="177"/>
      <c r="KX26" s="177"/>
      <c r="KY26" s="177"/>
      <c r="KZ26" s="178"/>
      <c r="LA26" s="178"/>
      <c r="LB26" s="178"/>
      <c r="LC26" s="178"/>
      <c r="LD26" s="178"/>
      <c r="LE26" s="178"/>
      <c r="LF26" s="178"/>
      <c r="LG26" s="177"/>
      <c r="LH26" s="177"/>
      <c r="LI26" s="177"/>
      <c r="LJ26" s="177"/>
      <c r="LK26" s="177"/>
      <c r="LL26" s="177"/>
      <c r="LM26" s="181"/>
    </row>
    <row r="27" spans="1:325" ht="16.5" outlineLevel="1">
      <c r="A27" s="14"/>
      <c r="B27" s="157" t="s">
        <v>29</v>
      </c>
      <c r="C27" s="214" t="s">
        <v>337</v>
      </c>
      <c r="D27" s="215"/>
      <c r="E27" s="215"/>
      <c r="F27" s="215"/>
      <c r="G27" s="216"/>
      <c r="H27" s="217" t="s">
        <v>0</v>
      </c>
      <c r="I27" s="217"/>
      <c r="J27" s="218"/>
      <c r="K27" s="219">
        <f>IF(AND(NOT(ISNUMBER(Gantt!$Q27)),NOT(ISNUMBER(Gantt!$N27))),"",IF(NOT(ISNUMBER(Gantt!$Q27)),0,Gantt!$Q27/Gantt!$N27))</f>
        <v>0.14285714285714285</v>
      </c>
      <c r="L27" s="220">
        <v>43976</v>
      </c>
      <c r="M27" s="220">
        <v>43982</v>
      </c>
      <c r="N27" s="221">
        <f t="shared" si="0"/>
        <v>7</v>
      </c>
      <c r="O27" s="220">
        <v>43941</v>
      </c>
      <c r="P27" s="220">
        <v>43941</v>
      </c>
      <c r="Q27" s="221">
        <f t="shared" si="1"/>
        <v>1</v>
      </c>
      <c r="R27" s="221" t="str">
        <f t="shared" ca="1" si="2"/>
        <v>완료</v>
      </c>
      <c r="S27" s="167"/>
      <c r="T27" s="159"/>
      <c r="U27" s="162"/>
      <c r="V27" s="162"/>
      <c r="W27" s="162"/>
      <c r="X27" s="162"/>
      <c r="Y27" s="160"/>
      <c r="Z27" s="160"/>
      <c r="AA27" s="160"/>
      <c r="AB27" s="160"/>
      <c r="AC27" s="160"/>
      <c r="AD27" s="160"/>
      <c r="AE27" s="160"/>
      <c r="AF27" s="162"/>
      <c r="AG27" s="162"/>
      <c r="AH27" s="162"/>
      <c r="AI27" s="162"/>
      <c r="AJ27" s="162"/>
      <c r="AK27" s="162"/>
      <c r="AL27" s="162"/>
      <c r="AM27" s="160"/>
      <c r="AN27" s="160"/>
      <c r="AO27" s="160"/>
      <c r="AP27" s="160"/>
      <c r="AQ27" s="160"/>
      <c r="AR27" s="160"/>
      <c r="AS27" s="160"/>
      <c r="AT27" s="162"/>
      <c r="AU27" s="162"/>
      <c r="AV27" s="162"/>
      <c r="AW27" s="162"/>
      <c r="AX27" s="163"/>
      <c r="AY27" s="164"/>
      <c r="AZ27" s="162"/>
      <c r="BA27" s="160"/>
      <c r="BB27" s="160"/>
      <c r="BC27" s="160"/>
      <c r="BD27" s="160"/>
      <c r="BE27" s="160"/>
      <c r="BF27" s="160"/>
      <c r="BG27" s="160"/>
      <c r="BH27" s="162"/>
      <c r="BI27" s="162"/>
      <c r="BJ27" s="162"/>
      <c r="BK27" s="194"/>
      <c r="BL27" s="162"/>
      <c r="BM27" s="162"/>
      <c r="BN27" s="162"/>
      <c r="BO27" s="160"/>
      <c r="BP27" s="160"/>
      <c r="BQ27" s="160"/>
      <c r="BR27" s="160"/>
      <c r="BS27" s="160"/>
      <c r="BT27" s="160"/>
      <c r="BU27" s="160"/>
      <c r="BV27" s="162"/>
      <c r="BW27" s="162"/>
      <c r="BX27" s="162"/>
      <c r="BY27" s="162"/>
      <c r="BZ27" s="162"/>
      <c r="CA27" s="162"/>
      <c r="CB27" s="162"/>
      <c r="CC27" s="165"/>
      <c r="CD27" s="170" t="s">
        <v>283</v>
      </c>
      <c r="CE27" s="160"/>
      <c r="CF27" s="160"/>
      <c r="CG27" s="160"/>
      <c r="CH27" s="160"/>
      <c r="CI27" s="160"/>
      <c r="CJ27" s="162"/>
      <c r="CK27" s="162"/>
      <c r="CL27" s="162"/>
      <c r="CM27" s="162"/>
      <c r="CN27" s="162"/>
      <c r="CO27" s="162"/>
      <c r="CP27" s="162"/>
      <c r="CQ27" s="160"/>
      <c r="CR27" s="160"/>
      <c r="CS27" s="160"/>
      <c r="CT27" s="160"/>
      <c r="CU27" s="160"/>
      <c r="CV27" s="160"/>
      <c r="CW27" s="160"/>
      <c r="CX27" s="162"/>
      <c r="CY27" s="162"/>
      <c r="CZ27" s="162"/>
      <c r="DA27" s="162"/>
      <c r="DB27" s="162"/>
      <c r="DC27" s="162"/>
      <c r="DD27" s="162"/>
      <c r="DE27" s="160"/>
      <c r="DF27" s="160"/>
      <c r="DG27" s="165"/>
      <c r="DH27" s="166"/>
      <c r="DI27" s="160"/>
      <c r="DJ27" s="160"/>
      <c r="DK27" s="160"/>
      <c r="DL27" s="162"/>
      <c r="DM27" s="162"/>
      <c r="DN27" s="162"/>
      <c r="DO27" s="162"/>
      <c r="DP27" s="162"/>
      <c r="DQ27" s="162"/>
      <c r="DR27" s="162"/>
      <c r="DS27" s="160"/>
      <c r="DT27" s="160"/>
      <c r="DU27" s="160"/>
      <c r="DV27" s="160"/>
      <c r="DW27" s="160"/>
      <c r="DX27" s="160"/>
      <c r="DY27" s="160"/>
      <c r="DZ27" s="162"/>
      <c r="EA27" s="162"/>
      <c r="EB27" s="162"/>
      <c r="EC27" s="162"/>
      <c r="ED27" s="162"/>
      <c r="EE27" s="162"/>
      <c r="EF27" s="162"/>
      <c r="EG27" s="160"/>
      <c r="EH27" s="160"/>
      <c r="EI27" s="160"/>
      <c r="EJ27" s="160"/>
      <c r="EK27" s="160"/>
      <c r="EL27" s="165"/>
      <c r="EM27" s="166"/>
      <c r="EN27" s="162"/>
      <c r="EO27" s="162"/>
      <c r="EP27" s="162"/>
      <c r="EQ27" s="162"/>
      <c r="ER27" s="162"/>
      <c r="ES27" s="162"/>
      <c r="ET27" s="162"/>
      <c r="EU27" s="160"/>
      <c r="EV27" s="160"/>
      <c r="EW27" s="160"/>
      <c r="EX27" s="160"/>
      <c r="EY27" s="160"/>
      <c r="EZ27" s="160"/>
      <c r="FA27" s="160"/>
      <c r="FB27" s="162"/>
      <c r="FC27" s="162"/>
      <c r="FD27" s="162"/>
      <c r="FE27" s="162"/>
      <c r="FF27" s="162"/>
      <c r="FG27" s="162"/>
      <c r="FH27" s="162"/>
      <c r="FI27" s="160"/>
      <c r="FJ27" s="160"/>
      <c r="FK27" s="160"/>
      <c r="FL27" s="160"/>
      <c r="FM27" s="160"/>
      <c r="FN27" s="160"/>
      <c r="FO27" s="160"/>
      <c r="FP27" s="162"/>
      <c r="FQ27" s="163"/>
      <c r="FR27" s="164"/>
      <c r="FS27" s="162"/>
      <c r="FT27" s="162"/>
      <c r="FU27" s="162"/>
      <c r="FV27" s="162"/>
      <c r="FW27" s="160"/>
      <c r="FX27" s="160"/>
      <c r="FY27" s="160"/>
      <c r="FZ27" s="160"/>
      <c r="GA27" s="160"/>
      <c r="GB27" s="160"/>
      <c r="GC27" s="160"/>
      <c r="GD27" s="162"/>
      <c r="GE27" s="162"/>
      <c r="GF27" s="162"/>
      <c r="GG27" s="162"/>
      <c r="GH27" s="162"/>
      <c r="GI27" s="162"/>
      <c r="GJ27" s="162"/>
      <c r="GK27" s="160"/>
      <c r="GL27" s="160"/>
      <c r="GM27" s="160"/>
      <c r="GN27" s="160"/>
      <c r="GO27" s="160"/>
      <c r="GP27" s="160"/>
      <c r="GQ27" s="160"/>
      <c r="GR27" s="162"/>
      <c r="GS27" s="162"/>
      <c r="GT27" s="162"/>
      <c r="GU27" s="163"/>
      <c r="GV27" s="164"/>
      <c r="GW27" s="162"/>
      <c r="GX27" s="162"/>
      <c r="GY27" s="160"/>
      <c r="GZ27" s="160"/>
      <c r="HA27" s="160"/>
      <c r="HB27" s="160"/>
      <c r="HC27" s="160"/>
      <c r="HD27" s="160"/>
      <c r="HE27" s="160"/>
      <c r="HF27" s="162"/>
      <c r="HG27" s="162"/>
      <c r="HH27" s="162"/>
      <c r="HI27" s="162"/>
      <c r="HJ27" s="162"/>
      <c r="HK27" s="162"/>
      <c r="HL27" s="162"/>
      <c r="HM27" s="160"/>
      <c r="HN27" s="160"/>
      <c r="HO27" s="160"/>
      <c r="HP27" s="160"/>
      <c r="HQ27" s="160"/>
      <c r="HR27" s="160"/>
      <c r="HS27" s="160"/>
      <c r="HT27" s="162"/>
      <c r="HU27" s="162"/>
      <c r="HV27" s="162"/>
      <c r="HW27" s="162"/>
      <c r="HX27" s="162"/>
      <c r="HY27" s="162"/>
      <c r="HZ27" s="163"/>
      <c r="IA27" s="166"/>
      <c r="IB27" s="160"/>
      <c r="IC27" s="160"/>
      <c r="ID27" s="160"/>
      <c r="IE27" s="160"/>
      <c r="IF27" s="160"/>
      <c r="IG27" s="160"/>
      <c r="IH27" s="162"/>
      <c r="II27" s="162"/>
      <c r="IJ27" s="162"/>
      <c r="IK27" s="162"/>
      <c r="IL27" s="162"/>
      <c r="IM27" s="162"/>
      <c r="IN27" s="162"/>
      <c r="IO27" s="160"/>
      <c r="IP27" s="160"/>
      <c r="IQ27" s="160"/>
      <c r="IR27" s="160"/>
      <c r="IS27" s="160"/>
      <c r="IT27" s="160"/>
      <c r="IU27" s="160"/>
      <c r="IV27" s="162"/>
      <c r="IW27" s="162"/>
      <c r="IX27" s="162"/>
      <c r="IY27" s="162"/>
      <c r="IZ27" s="162"/>
      <c r="JA27" s="162"/>
      <c r="JB27" s="162"/>
      <c r="JC27" s="160"/>
      <c r="JD27" s="165"/>
      <c r="JE27" s="166"/>
      <c r="JF27" s="160"/>
      <c r="JG27" s="160"/>
      <c r="JH27" s="160"/>
      <c r="JI27" s="160"/>
      <c r="JJ27" s="162"/>
      <c r="JK27" s="162"/>
      <c r="JL27" s="162"/>
      <c r="JM27" s="162"/>
      <c r="JN27" s="162"/>
      <c r="JO27" s="162"/>
      <c r="JP27" s="162"/>
      <c r="JQ27" s="160"/>
      <c r="JR27" s="160"/>
      <c r="JS27" s="160"/>
      <c r="JT27" s="160"/>
      <c r="JU27" s="160"/>
      <c r="JV27" s="160"/>
      <c r="JW27" s="160"/>
      <c r="JX27" s="162"/>
      <c r="JY27" s="162"/>
      <c r="JZ27" s="162"/>
      <c r="KA27" s="162"/>
      <c r="KB27" s="162"/>
      <c r="KC27" s="162"/>
      <c r="KD27" s="162"/>
      <c r="KE27" s="160"/>
      <c r="KF27" s="160"/>
      <c r="KG27" s="160"/>
      <c r="KH27" s="160"/>
      <c r="KI27" s="165"/>
      <c r="KJ27" s="166"/>
      <c r="KK27" s="160"/>
      <c r="KL27" s="162"/>
      <c r="KM27" s="162"/>
      <c r="KN27" s="162"/>
      <c r="KO27" s="162"/>
      <c r="KP27" s="162"/>
      <c r="KQ27" s="162"/>
      <c r="KR27" s="162"/>
      <c r="KS27" s="160"/>
      <c r="KT27" s="160"/>
      <c r="KU27" s="160"/>
      <c r="KV27" s="160"/>
      <c r="KW27" s="160"/>
      <c r="KX27" s="160"/>
      <c r="KY27" s="160"/>
      <c r="KZ27" s="162"/>
      <c r="LA27" s="162"/>
      <c r="LB27" s="162"/>
      <c r="LC27" s="162"/>
      <c r="LD27" s="162"/>
      <c r="LE27" s="162"/>
      <c r="LF27" s="162"/>
      <c r="LG27" s="160"/>
      <c r="LH27" s="160"/>
      <c r="LI27" s="160"/>
      <c r="LJ27" s="160"/>
      <c r="LK27" s="160"/>
      <c r="LL27" s="160"/>
      <c r="LM27" s="165"/>
    </row>
    <row r="28" spans="1:325" ht="16.5" outlineLevel="1">
      <c r="A28" s="14"/>
      <c r="B28" s="157" t="s">
        <v>30</v>
      </c>
      <c r="C28" s="214" t="s">
        <v>337</v>
      </c>
      <c r="D28" s="215"/>
      <c r="E28" s="215"/>
      <c r="F28" s="215"/>
      <c r="G28" s="216"/>
      <c r="H28" s="217" t="s">
        <v>0</v>
      </c>
      <c r="I28" s="217"/>
      <c r="J28" s="218"/>
      <c r="K28" s="219">
        <f>IF(AND(NOT(ISNUMBER(Gantt!$Q28)),NOT(ISNUMBER(Gantt!$N28))),"",IF(NOT(ISNUMBER(Gantt!$Q28)),0,Gantt!$Q28/Gantt!$N28))</f>
        <v>0.2</v>
      </c>
      <c r="L28" s="220">
        <v>43981</v>
      </c>
      <c r="M28" s="220">
        <v>43985</v>
      </c>
      <c r="N28" s="221">
        <f t="shared" si="0"/>
        <v>5</v>
      </c>
      <c r="O28" s="220">
        <v>43942</v>
      </c>
      <c r="P28" s="220">
        <v>43942</v>
      </c>
      <c r="Q28" s="221">
        <f t="shared" si="1"/>
        <v>1</v>
      </c>
      <c r="R28" s="221" t="str">
        <f t="shared" ca="1" si="2"/>
        <v>완료</v>
      </c>
      <c r="S28" s="167"/>
      <c r="T28" s="159"/>
      <c r="U28" s="162"/>
      <c r="V28" s="162"/>
      <c r="W28" s="162"/>
      <c r="X28" s="162"/>
      <c r="Y28" s="160"/>
      <c r="Z28" s="160"/>
      <c r="AA28" s="160"/>
      <c r="AB28" s="160"/>
      <c r="AC28" s="160"/>
      <c r="AD28" s="160"/>
      <c r="AE28" s="160"/>
      <c r="AF28" s="162"/>
      <c r="AG28" s="162"/>
      <c r="AH28" s="162"/>
      <c r="AI28" s="162"/>
      <c r="AJ28" s="162"/>
      <c r="AK28" s="162"/>
      <c r="AL28" s="162"/>
      <c r="AM28" s="160"/>
      <c r="AN28" s="160"/>
      <c r="AO28" s="160"/>
      <c r="AP28" s="160"/>
      <c r="AQ28" s="160"/>
      <c r="AR28" s="160"/>
      <c r="AS28" s="160"/>
      <c r="AT28" s="162"/>
      <c r="AU28" s="162"/>
      <c r="AV28" s="162"/>
      <c r="AW28" s="162"/>
      <c r="AX28" s="163"/>
      <c r="AY28" s="164"/>
      <c r="AZ28" s="162"/>
      <c r="BA28" s="160"/>
      <c r="BB28" s="160"/>
      <c r="BC28" s="160"/>
      <c r="BD28" s="160"/>
      <c r="BE28" s="160"/>
      <c r="BF28" s="160"/>
      <c r="BG28" s="160"/>
      <c r="BH28" s="162"/>
      <c r="BI28" s="162"/>
      <c r="BJ28" s="162"/>
      <c r="BK28" s="162"/>
      <c r="BL28" s="162"/>
      <c r="BM28" s="162"/>
      <c r="BN28" s="194"/>
      <c r="BO28" s="160"/>
      <c r="BP28" s="160"/>
      <c r="BQ28" s="160"/>
      <c r="BR28" s="160"/>
      <c r="BS28" s="160"/>
      <c r="BT28" s="160"/>
      <c r="BU28" s="160"/>
      <c r="BV28" s="162"/>
      <c r="BW28" s="162"/>
      <c r="BX28" s="162"/>
      <c r="BY28" s="162"/>
      <c r="BZ28" s="162"/>
      <c r="CA28" s="162"/>
      <c r="CB28" s="162"/>
      <c r="CC28" s="165"/>
      <c r="CD28" s="166"/>
      <c r="CE28" s="160"/>
      <c r="CF28" s="160"/>
      <c r="CG28" s="161" t="s">
        <v>284</v>
      </c>
      <c r="CH28" s="160"/>
      <c r="CI28" s="160"/>
      <c r="CJ28" s="162"/>
      <c r="CK28" s="162"/>
      <c r="CL28" s="162"/>
      <c r="CM28" s="162"/>
      <c r="CN28" s="162"/>
      <c r="CO28" s="162"/>
      <c r="CP28" s="162"/>
      <c r="CQ28" s="160"/>
      <c r="CR28" s="160"/>
      <c r="CS28" s="160"/>
      <c r="CT28" s="160"/>
      <c r="CU28" s="160"/>
      <c r="CV28" s="160"/>
      <c r="CW28" s="160"/>
      <c r="CX28" s="162"/>
      <c r="CY28" s="162"/>
      <c r="CZ28" s="162"/>
      <c r="DA28" s="162"/>
      <c r="DB28" s="162"/>
      <c r="DC28" s="162"/>
      <c r="DD28" s="162"/>
      <c r="DE28" s="160"/>
      <c r="DF28" s="160"/>
      <c r="DG28" s="165"/>
      <c r="DH28" s="166"/>
      <c r="DI28" s="160"/>
      <c r="DJ28" s="160"/>
      <c r="DK28" s="160"/>
      <c r="DL28" s="162"/>
      <c r="DM28" s="162"/>
      <c r="DN28" s="162"/>
      <c r="DO28" s="162"/>
      <c r="DP28" s="162"/>
      <c r="DQ28" s="162"/>
      <c r="DR28" s="162"/>
      <c r="DS28" s="160"/>
      <c r="DT28" s="160"/>
      <c r="DU28" s="160"/>
      <c r="DV28" s="160"/>
      <c r="DW28" s="160"/>
      <c r="DX28" s="160"/>
      <c r="DY28" s="160"/>
      <c r="DZ28" s="162"/>
      <c r="EA28" s="162"/>
      <c r="EB28" s="162"/>
      <c r="EC28" s="162"/>
      <c r="ED28" s="162"/>
      <c r="EE28" s="162"/>
      <c r="EF28" s="162"/>
      <c r="EG28" s="160"/>
      <c r="EH28" s="160"/>
      <c r="EI28" s="160"/>
      <c r="EJ28" s="160"/>
      <c r="EK28" s="160"/>
      <c r="EL28" s="165"/>
      <c r="EM28" s="166"/>
      <c r="EN28" s="162"/>
      <c r="EO28" s="162"/>
      <c r="EP28" s="162"/>
      <c r="EQ28" s="162"/>
      <c r="ER28" s="162"/>
      <c r="ES28" s="162"/>
      <c r="ET28" s="162"/>
      <c r="EU28" s="160"/>
      <c r="EV28" s="160"/>
      <c r="EW28" s="160"/>
      <c r="EX28" s="160"/>
      <c r="EY28" s="160"/>
      <c r="EZ28" s="160"/>
      <c r="FA28" s="160"/>
      <c r="FB28" s="162"/>
      <c r="FC28" s="162"/>
      <c r="FD28" s="162"/>
      <c r="FE28" s="162"/>
      <c r="FF28" s="162"/>
      <c r="FG28" s="162"/>
      <c r="FH28" s="162"/>
      <c r="FI28" s="160"/>
      <c r="FJ28" s="160"/>
      <c r="FK28" s="160"/>
      <c r="FL28" s="160"/>
      <c r="FM28" s="160"/>
      <c r="FN28" s="160"/>
      <c r="FO28" s="160"/>
      <c r="FP28" s="162"/>
      <c r="FQ28" s="163"/>
      <c r="FR28" s="164"/>
      <c r="FS28" s="162"/>
      <c r="FT28" s="162"/>
      <c r="FU28" s="162"/>
      <c r="FV28" s="162"/>
      <c r="FW28" s="160"/>
      <c r="FX28" s="160"/>
      <c r="FY28" s="160"/>
      <c r="FZ28" s="160"/>
      <c r="GA28" s="160"/>
      <c r="GB28" s="160"/>
      <c r="GC28" s="160"/>
      <c r="GD28" s="162"/>
      <c r="GE28" s="162"/>
      <c r="GF28" s="162"/>
      <c r="GG28" s="162"/>
      <c r="GH28" s="162"/>
      <c r="GI28" s="162"/>
      <c r="GJ28" s="162"/>
      <c r="GK28" s="160"/>
      <c r="GL28" s="160"/>
      <c r="GM28" s="160"/>
      <c r="GN28" s="160"/>
      <c r="GO28" s="160"/>
      <c r="GP28" s="160"/>
      <c r="GQ28" s="160"/>
      <c r="GR28" s="162"/>
      <c r="GS28" s="162"/>
      <c r="GT28" s="162"/>
      <c r="GU28" s="163"/>
      <c r="GV28" s="164"/>
      <c r="GW28" s="162"/>
      <c r="GX28" s="162"/>
      <c r="GY28" s="160"/>
      <c r="GZ28" s="160"/>
      <c r="HA28" s="160"/>
      <c r="HB28" s="160"/>
      <c r="HC28" s="160"/>
      <c r="HD28" s="160"/>
      <c r="HE28" s="160"/>
      <c r="HF28" s="162"/>
      <c r="HG28" s="162"/>
      <c r="HH28" s="162"/>
      <c r="HI28" s="162"/>
      <c r="HJ28" s="162"/>
      <c r="HK28" s="162"/>
      <c r="HL28" s="162"/>
      <c r="HM28" s="160"/>
      <c r="HN28" s="160"/>
      <c r="HO28" s="160"/>
      <c r="HP28" s="160"/>
      <c r="HQ28" s="160"/>
      <c r="HR28" s="160"/>
      <c r="HS28" s="160"/>
      <c r="HT28" s="162"/>
      <c r="HU28" s="162"/>
      <c r="HV28" s="162"/>
      <c r="HW28" s="162"/>
      <c r="HX28" s="162"/>
      <c r="HY28" s="162"/>
      <c r="HZ28" s="163"/>
      <c r="IA28" s="166"/>
      <c r="IB28" s="160"/>
      <c r="IC28" s="160"/>
      <c r="ID28" s="160"/>
      <c r="IE28" s="160"/>
      <c r="IF28" s="160"/>
      <c r="IG28" s="160"/>
      <c r="IH28" s="162"/>
      <c r="II28" s="162"/>
      <c r="IJ28" s="162"/>
      <c r="IK28" s="162"/>
      <c r="IL28" s="162"/>
      <c r="IM28" s="162"/>
      <c r="IN28" s="162"/>
      <c r="IO28" s="160"/>
      <c r="IP28" s="160"/>
      <c r="IQ28" s="160"/>
      <c r="IR28" s="160"/>
      <c r="IS28" s="160"/>
      <c r="IT28" s="160"/>
      <c r="IU28" s="160"/>
      <c r="IV28" s="162"/>
      <c r="IW28" s="162"/>
      <c r="IX28" s="162"/>
      <c r="IY28" s="162"/>
      <c r="IZ28" s="162"/>
      <c r="JA28" s="162"/>
      <c r="JB28" s="162"/>
      <c r="JC28" s="160"/>
      <c r="JD28" s="165"/>
      <c r="JE28" s="166"/>
      <c r="JF28" s="160"/>
      <c r="JG28" s="160"/>
      <c r="JH28" s="160"/>
      <c r="JI28" s="160"/>
      <c r="JJ28" s="162"/>
      <c r="JK28" s="162"/>
      <c r="JL28" s="162"/>
      <c r="JM28" s="162"/>
      <c r="JN28" s="162"/>
      <c r="JO28" s="162"/>
      <c r="JP28" s="162"/>
      <c r="JQ28" s="160"/>
      <c r="JR28" s="160"/>
      <c r="JS28" s="160"/>
      <c r="JT28" s="160"/>
      <c r="JU28" s="160"/>
      <c r="JV28" s="160"/>
      <c r="JW28" s="160"/>
      <c r="JX28" s="162"/>
      <c r="JY28" s="162"/>
      <c r="JZ28" s="162"/>
      <c r="KA28" s="162"/>
      <c r="KB28" s="162"/>
      <c r="KC28" s="162"/>
      <c r="KD28" s="162"/>
      <c r="KE28" s="160"/>
      <c r="KF28" s="160"/>
      <c r="KG28" s="160"/>
      <c r="KH28" s="160"/>
      <c r="KI28" s="165"/>
      <c r="KJ28" s="166"/>
      <c r="KK28" s="160"/>
      <c r="KL28" s="162"/>
      <c r="KM28" s="162"/>
      <c r="KN28" s="162"/>
      <c r="KO28" s="162"/>
      <c r="KP28" s="162"/>
      <c r="KQ28" s="162"/>
      <c r="KR28" s="162"/>
      <c r="KS28" s="160"/>
      <c r="KT28" s="160"/>
      <c r="KU28" s="160"/>
      <c r="KV28" s="160"/>
      <c r="KW28" s="160"/>
      <c r="KX28" s="160"/>
      <c r="KY28" s="160"/>
      <c r="KZ28" s="162"/>
      <c r="LA28" s="162"/>
      <c r="LB28" s="162"/>
      <c r="LC28" s="162"/>
      <c r="LD28" s="162"/>
      <c r="LE28" s="162"/>
      <c r="LF28" s="162"/>
      <c r="LG28" s="160"/>
      <c r="LH28" s="160"/>
      <c r="LI28" s="160"/>
      <c r="LJ28" s="160"/>
      <c r="LK28" s="160"/>
      <c r="LL28" s="160"/>
      <c r="LM28" s="165"/>
    </row>
    <row r="29" spans="1:325" ht="16.5" outlineLevel="1">
      <c r="A29" s="14"/>
      <c r="B29" s="157" t="s">
        <v>31</v>
      </c>
      <c r="C29" s="214" t="s">
        <v>343</v>
      </c>
      <c r="D29" s="215"/>
      <c r="E29" s="215"/>
      <c r="F29" s="215"/>
      <c r="G29" s="216"/>
      <c r="H29" s="217" t="s">
        <v>0</v>
      </c>
      <c r="I29" s="217"/>
      <c r="J29" s="218"/>
      <c r="K29" s="219">
        <f>IF(AND(NOT(ISNUMBER(Gantt!$Q29)),NOT(ISNUMBER(Gantt!$N29))),"",IF(NOT(ISNUMBER(Gantt!$Q29)),0,Gantt!$Q29/Gantt!$N29))</f>
        <v>0.18181818181818182</v>
      </c>
      <c r="L29" s="220">
        <v>43979</v>
      </c>
      <c r="M29" s="220">
        <v>43989</v>
      </c>
      <c r="N29" s="221">
        <f t="shared" si="0"/>
        <v>11</v>
      </c>
      <c r="O29" s="220">
        <v>43946</v>
      </c>
      <c r="P29" s="220">
        <v>43947</v>
      </c>
      <c r="Q29" s="221">
        <f t="shared" si="1"/>
        <v>2</v>
      </c>
      <c r="R29" s="221" t="str">
        <f t="shared" ca="1" si="2"/>
        <v>완료</v>
      </c>
      <c r="S29" s="167"/>
      <c r="T29" s="159"/>
      <c r="U29" s="162"/>
      <c r="V29" s="162"/>
      <c r="W29" s="162"/>
      <c r="X29" s="162"/>
      <c r="Y29" s="160"/>
      <c r="Z29" s="160"/>
      <c r="AA29" s="160"/>
      <c r="AB29" s="160"/>
      <c r="AC29" s="160"/>
      <c r="AD29" s="160"/>
      <c r="AE29" s="160"/>
      <c r="AF29" s="162"/>
      <c r="AG29" s="162"/>
      <c r="AH29" s="162"/>
      <c r="AI29" s="162"/>
      <c r="AJ29" s="162"/>
      <c r="AK29" s="162"/>
      <c r="AL29" s="162"/>
      <c r="AM29" s="160"/>
      <c r="AN29" s="160"/>
      <c r="AO29" s="160"/>
      <c r="AP29" s="160"/>
      <c r="AQ29" s="160"/>
      <c r="AR29" s="160"/>
      <c r="AS29" s="160"/>
      <c r="AT29" s="162"/>
      <c r="AU29" s="162"/>
      <c r="AV29" s="162"/>
      <c r="AW29" s="162"/>
      <c r="AX29" s="163"/>
      <c r="AY29" s="164"/>
      <c r="AZ29" s="162"/>
      <c r="BA29" s="160"/>
      <c r="BB29" s="160"/>
      <c r="BC29" s="160"/>
      <c r="BD29" s="160"/>
      <c r="BE29" s="160"/>
      <c r="BF29" s="160"/>
      <c r="BG29" s="160"/>
      <c r="BH29" s="162"/>
      <c r="BI29" s="162"/>
      <c r="BJ29" s="162"/>
      <c r="BK29" s="162"/>
      <c r="BL29" s="162"/>
      <c r="BM29" s="162"/>
      <c r="BN29" s="162"/>
      <c r="BO29" s="160"/>
      <c r="BP29" s="160"/>
      <c r="BQ29" s="160"/>
      <c r="BR29" s="193"/>
      <c r="BS29" s="160"/>
      <c r="BT29" s="160"/>
      <c r="BU29" s="160"/>
      <c r="BV29" s="162"/>
      <c r="BW29" s="162"/>
      <c r="BX29" s="162"/>
      <c r="BY29" s="162"/>
      <c r="BZ29" s="162"/>
      <c r="CA29" s="162"/>
      <c r="CB29" s="162"/>
      <c r="CC29" s="165"/>
      <c r="CD29" s="166"/>
      <c r="CE29" s="160"/>
      <c r="CF29" s="160"/>
      <c r="CG29" s="160"/>
      <c r="CH29" s="160"/>
      <c r="CI29" s="160"/>
      <c r="CJ29" s="162"/>
      <c r="CK29" s="168" t="s">
        <v>285</v>
      </c>
      <c r="CL29" s="162"/>
      <c r="CM29" s="162"/>
      <c r="CN29" s="162"/>
      <c r="CO29" s="162"/>
      <c r="CP29" s="162"/>
      <c r="CQ29" s="160"/>
      <c r="CR29" s="160"/>
      <c r="CS29" s="160"/>
      <c r="CT29" s="160"/>
      <c r="CU29" s="160"/>
      <c r="CV29" s="160"/>
      <c r="CW29" s="160"/>
      <c r="CX29" s="162"/>
      <c r="CY29" s="162"/>
      <c r="CZ29" s="162"/>
      <c r="DA29" s="162"/>
      <c r="DB29" s="162"/>
      <c r="DC29" s="162"/>
      <c r="DD29" s="162"/>
      <c r="DE29" s="160"/>
      <c r="DF29" s="160"/>
      <c r="DG29" s="165"/>
      <c r="DH29" s="166"/>
      <c r="DI29" s="160"/>
      <c r="DJ29" s="160"/>
      <c r="DK29" s="160"/>
      <c r="DL29" s="162"/>
      <c r="DM29" s="162"/>
      <c r="DN29" s="162"/>
      <c r="DO29" s="162"/>
      <c r="DP29" s="162"/>
      <c r="DQ29" s="162"/>
      <c r="DR29" s="162"/>
      <c r="DS29" s="160"/>
      <c r="DT29" s="160"/>
      <c r="DU29" s="160"/>
      <c r="DV29" s="160"/>
      <c r="DW29" s="160"/>
      <c r="DX29" s="160"/>
      <c r="DY29" s="160"/>
      <c r="DZ29" s="162"/>
      <c r="EA29" s="162"/>
      <c r="EB29" s="162"/>
      <c r="EC29" s="162"/>
      <c r="ED29" s="162"/>
      <c r="EE29" s="162"/>
      <c r="EF29" s="162"/>
      <c r="EG29" s="160"/>
      <c r="EH29" s="160"/>
      <c r="EI29" s="160"/>
      <c r="EJ29" s="160"/>
      <c r="EK29" s="160"/>
      <c r="EL29" s="165"/>
      <c r="EM29" s="166"/>
      <c r="EN29" s="162"/>
      <c r="EO29" s="162"/>
      <c r="EP29" s="162"/>
      <c r="EQ29" s="162"/>
      <c r="ER29" s="162"/>
      <c r="ES29" s="162"/>
      <c r="ET29" s="162"/>
      <c r="EU29" s="160"/>
      <c r="EV29" s="160"/>
      <c r="EW29" s="160"/>
      <c r="EX29" s="160"/>
      <c r="EY29" s="160"/>
      <c r="EZ29" s="160"/>
      <c r="FA29" s="160"/>
      <c r="FB29" s="162"/>
      <c r="FC29" s="162"/>
      <c r="FD29" s="162"/>
      <c r="FE29" s="162"/>
      <c r="FF29" s="162"/>
      <c r="FG29" s="162"/>
      <c r="FH29" s="162"/>
      <c r="FI29" s="160"/>
      <c r="FJ29" s="160"/>
      <c r="FK29" s="160"/>
      <c r="FL29" s="160"/>
      <c r="FM29" s="160"/>
      <c r="FN29" s="160"/>
      <c r="FO29" s="160"/>
      <c r="FP29" s="162"/>
      <c r="FQ29" s="163"/>
      <c r="FR29" s="164"/>
      <c r="FS29" s="162"/>
      <c r="FT29" s="162"/>
      <c r="FU29" s="162"/>
      <c r="FV29" s="162"/>
      <c r="FW29" s="160"/>
      <c r="FX29" s="160"/>
      <c r="FY29" s="160"/>
      <c r="FZ29" s="160"/>
      <c r="GA29" s="160"/>
      <c r="GB29" s="160"/>
      <c r="GC29" s="160"/>
      <c r="GD29" s="162"/>
      <c r="GE29" s="162"/>
      <c r="GF29" s="162"/>
      <c r="GG29" s="162"/>
      <c r="GH29" s="162"/>
      <c r="GI29" s="162"/>
      <c r="GJ29" s="162"/>
      <c r="GK29" s="160"/>
      <c r="GL29" s="160"/>
      <c r="GM29" s="160"/>
      <c r="GN29" s="160"/>
      <c r="GO29" s="160"/>
      <c r="GP29" s="160"/>
      <c r="GQ29" s="160"/>
      <c r="GR29" s="162"/>
      <c r="GS29" s="162"/>
      <c r="GT29" s="162"/>
      <c r="GU29" s="163"/>
      <c r="GV29" s="164"/>
      <c r="GW29" s="162"/>
      <c r="GX29" s="162"/>
      <c r="GY29" s="160"/>
      <c r="GZ29" s="160"/>
      <c r="HA29" s="160"/>
      <c r="HB29" s="160"/>
      <c r="HC29" s="160"/>
      <c r="HD29" s="160"/>
      <c r="HE29" s="160"/>
      <c r="HF29" s="162"/>
      <c r="HG29" s="162"/>
      <c r="HH29" s="162"/>
      <c r="HI29" s="162"/>
      <c r="HJ29" s="162"/>
      <c r="HK29" s="162"/>
      <c r="HL29" s="162"/>
      <c r="HM29" s="160"/>
      <c r="HN29" s="160"/>
      <c r="HO29" s="160"/>
      <c r="HP29" s="160"/>
      <c r="HQ29" s="160"/>
      <c r="HR29" s="160"/>
      <c r="HS29" s="160"/>
      <c r="HT29" s="162"/>
      <c r="HU29" s="162"/>
      <c r="HV29" s="162"/>
      <c r="HW29" s="162"/>
      <c r="HX29" s="162"/>
      <c r="HY29" s="162"/>
      <c r="HZ29" s="163"/>
      <c r="IA29" s="166"/>
      <c r="IB29" s="160"/>
      <c r="IC29" s="160"/>
      <c r="ID29" s="160"/>
      <c r="IE29" s="160"/>
      <c r="IF29" s="160"/>
      <c r="IG29" s="160"/>
      <c r="IH29" s="162"/>
      <c r="II29" s="162"/>
      <c r="IJ29" s="162"/>
      <c r="IK29" s="162"/>
      <c r="IL29" s="162"/>
      <c r="IM29" s="162"/>
      <c r="IN29" s="162"/>
      <c r="IO29" s="160"/>
      <c r="IP29" s="160"/>
      <c r="IQ29" s="160"/>
      <c r="IR29" s="160"/>
      <c r="IS29" s="160"/>
      <c r="IT29" s="160"/>
      <c r="IU29" s="160"/>
      <c r="IV29" s="162"/>
      <c r="IW29" s="162"/>
      <c r="IX29" s="162"/>
      <c r="IY29" s="162"/>
      <c r="IZ29" s="162"/>
      <c r="JA29" s="162"/>
      <c r="JB29" s="162"/>
      <c r="JC29" s="160"/>
      <c r="JD29" s="165"/>
      <c r="JE29" s="166"/>
      <c r="JF29" s="160"/>
      <c r="JG29" s="160"/>
      <c r="JH29" s="160"/>
      <c r="JI29" s="160"/>
      <c r="JJ29" s="162"/>
      <c r="JK29" s="162"/>
      <c r="JL29" s="162"/>
      <c r="JM29" s="162"/>
      <c r="JN29" s="162"/>
      <c r="JO29" s="162"/>
      <c r="JP29" s="162"/>
      <c r="JQ29" s="160"/>
      <c r="JR29" s="160"/>
      <c r="JS29" s="160"/>
      <c r="JT29" s="160"/>
      <c r="JU29" s="160"/>
      <c r="JV29" s="160"/>
      <c r="JW29" s="160"/>
      <c r="JX29" s="162"/>
      <c r="JY29" s="162"/>
      <c r="JZ29" s="162"/>
      <c r="KA29" s="162"/>
      <c r="KB29" s="162"/>
      <c r="KC29" s="162"/>
      <c r="KD29" s="162"/>
      <c r="KE29" s="160"/>
      <c r="KF29" s="160"/>
      <c r="KG29" s="160"/>
      <c r="KH29" s="160"/>
      <c r="KI29" s="165"/>
      <c r="KJ29" s="166"/>
      <c r="KK29" s="160"/>
      <c r="KL29" s="162"/>
      <c r="KM29" s="162"/>
      <c r="KN29" s="162"/>
      <c r="KO29" s="162"/>
      <c r="KP29" s="162"/>
      <c r="KQ29" s="162"/>
      <c r="KR29" s="162"/>
      <c r="KS29" s="160"/>
      <c r="KT29" s="160"/>
      <c r="KU29" s="160"/>
      <c r="KV29" s="160"/>
      <c r="KW29" s="160"/>
      <c r="KX29" s="160"/>
      <c r="KY29" s="160"/>
      <c r="KZ29" s="162"/>
      <c r="LA29" s="162"/>
      <c r="LB29" s="162"/>
      <c r="LC29" s="162"/>
      <c r="LD29" s="162"/>
      <c r="LE29" s="162"/>
      <c r="LF29" s="162"/>
      <c r="LG29" s="160"/>
      <c r="LH29" s="160"/>
      <c r="LI29" s="160"/>
      <c r="LJ29" s="160"/>
      <c r="LK29" s="160"/>
      <c r="LL29" s="160"/>
      <c r="LM29" s="165"/>
    </row>
    <row r="30" spans="1:325" ht="16.5" outlineLevel="1">
      <c r="A30" s="14"/>
      <c r="B30" s="157" t="s">
        <v>32</v>
      </c>
      <c r="C30" s="214" t="s">
        <v>344</v>
      </c>
      <c r="D30" s="215"/>
      <c r="E30" s="215"/>
      <c r="F30" s="215"/>
      <c r="G30" s="216"/>
      <c r="H30" s="217" t="s">
        <v>0</v>
      </c>
      <c r="I30" s="217"/>
      <c r="J30" s="218"/>
      <c r="K30" s="219">
        <f>IF(AND(NOT(ISNUMBER(Gantt!$Q30)),NOT(ISNUMBER(Gantt!$N30))),"",IF(NOT(ISNUMBER(Gantt!$Q30)),0,Gantt!$Q30/Gantt!$N30))</f>
        <v>1</v>
      </c>
      <c r="L30" s="220">
        <v>43990</v>
      </c>
      <c r="M30" s="220">
        <v>43993</v>
      </c>
      <c r="N30" s="221">
        <f t="shared" si="0"/>
        <v>4</v>
      </c>
      <c r="O30" s="239">
        <v>43947</v>
      </c>
      <c r="P30" s="239">
        <v>43950</v>
      </c>
      <c r="Q30" s="221">
        <f t="shared" si="1"/>
        <v>4</v>
      </c>
      <c r="R30" s="221" t="str">
        <f t="shared" ca="1" si="2"/>
        <v>완료</v>
      </c>
      <c r="S30" s="167"/>
      <c r="T30" s="159"/>
      <c r="U30" s="162"/>
      <c r="V30" s="162"/>
      <c r="W30" s="162"/>
      <c r="X30" s="162"/>
      <c r="Y30" s="160"/>
      <c r="Z30" s="160"/>
      <c r="AA30" s="160"/>
      <c r="AB30" s="160"/>
      <c r="AC30" s="160"/>
      <c r="AD30" s="160"/>
      <c r="AE30" s="160"/>
      <c r="AF30" s="162"/>
      <c r="AG30" s="162"/>
      <c r="AH30" s="162"/>
      <c r="AI30" s="162"/>
      <c r="AJ30" s="162"/>
      <c r="AK30" s="162"/>
      <c r="AL30" s="162"/>
      <c r="AM30" s="160"/>
      <c r="AN30" s="160"/>
      <c r="AO30" s="160"/>
      <c r="AP30" s="160"/>
      <c r="AQ30" s="160"/>
      <c r="AR30" s="160"/>
      <c r="AS30" s="160"/>
      <c r="AT30" s="162"/>
      <c r="AU30" s="162"/>
      <c r="AV30" s="162"/>
      <c r="AW30" s="162"/>
      <c r="AX30" s="163"/>
      <c r="AY30" s="164"/>
      <c r="AZ30" s="162"/>
      <c r="BA30" s="160"/>
      <c r="BB30" s="160"/>
      <c r="BC30" s="160"/>
      <c r="BD30" s="160"/>
      <c r="BE30" s="160"/>
      <c r="BF30" s="160"/>
      <c r="BG30" s="160"/>
      <c r="BH30" s="162"/>
      <c r="BI30" s="162"/>
      <c r="BJ30" s="162"/>
      <c r="BK30" s="162"/>
      <c r="BL30" s="162"/>
      <c r="BM30" s="162"/>
      <c r="BN30" s="162"/>
      <c r="BO30" s="160"/>
      <c r="BP30" s="160"/>
      <c r="BQ30" s="160"/>
      <c r="BR30" s="160"/>
      <c r="BS30" s="160"/>
      <c r="BT30" s="160"/>
      <c r="BU30" s="160"/>
      <c r="BV30" s="194"/>
      <c r="BW30" s="162"/>
      <c r="BX30" s="162"/>
      <c r="BY30" s="162"/>
      <c r="BZ30" s="162"/>
      <c r="CA30" s="162"/>
      <c r="CB30" s="162"/>
      <c r="CC30" s="165"/>
      <c r="CD30" s="166"/>
      <c r="CE30" s="160"/>
      <c r="CF30" s="160"/>
      <c r="CG30" s="160"/>
      <c r="CH30" s="160"/>
      <c r="CI30" s="160"/>
      <c r="CJ30" s="162"/>
      <c r="CK30" s="162"/>
      <c r="CL30" s="162"/>
      <c r="CM30" s="162"/>
      <c r="CN30" s="162"/>
      <c r="CO30" s="168" t="s">
        <v>286</v>
      </c>
      <c r="CP30" s="162"/>
      <c r="CQ30" s="160"/>
      <c r="CR30" s="160"/>
      <c r="CS30" s="160"/>
      <c r="CT30" s="160"/>
      <c r="CU30" s="160"/>
      <c r="CV30" s="160"/>
      <c r="CW30" s="160"/>
      <c r="CX30" s="162"/>
      <c r="CY30" s="162"/>
      <c r="CZ30" s="162"/>
      <c r="DA30" s="162"/>
      <c r="DB30" s="162"/>
      <c r="DC30" s="162"/>
      <c r="DD30" s="162"/>
      <c r="DE30" s="160"/>
      <c r="DF30" s="160"/>
      <c r="DG30" s="165"/>
      <c r="DH30" s="166"/>
      <c r="DI30" s="160"/>
      <c r="DJ30" s="160"/>
      <c r="DK30" s="160"/>
      <c r="DL30" s="162"/>
      <c r="DM30" s="162"/>
      <c r="DN30" s="162"/>
      <c r="DO30" s="162"/>
      <c r="DP30" s="162"/>
      <c r="DQ30" s="162"/>
      <c r="DR30" s="162"/>
      <c r="DS30" s="160"/>
      <c r="DT30" s="160"/>
      <c r="DU30" s="160"/>
      <c r="DV30" s="160"/>
      <c r="DW30" s="160"/>
      <c r="DX30" s="160"/>
      <c r="DY30" s="160"/>
      <c r="DZ30" s="162"/>
      <c r="EA30" s="162"/>
      <c r="EB30" s="162"/>
      <c r="EC30" s="162"/>
      <c r="ED30" s="162"/>
      <c r="EE30" s="162"/>
      <c r="EF30" s="162"/>
      <c r="EG30" s="160"/>
      <c r="EH30" s="160"/>
      <c r="EI30" s="160"/>
      <c r="EJ30" s="160"/>
      <c r="EK30" s="160"/>
      <c r="EL30" s="165"/>
      <c r="EM30" s="166"/>
      <c r="EN30" s="162"/>
      <c r="EO30" s="162"/>
      <c r="EP30" s="162"/>
      <c r="EQ30" s="162"/>
      <c r="ER30" s="162"/>
      <c r="ES30" s="162"/>
      <c r="ET30" s="162"/>
      <c r="EU30" s="160"/>
      <c r="EV30" s="160"/>
      <c r="EW30" s="160"/>
      <c r="EX30" s="160"/>
      <c r="EY30" s="160"/>
      <c r="EZ30" s="160"/>
      <c r="FA30" s="160"/>
      <c r="FB30" s="162"/>
      <c r="FC30" s="162"/>
      <c r="FD30" s="162"/>
      <c r="FE30" s="162"/>
      <c r="FF30" s="162"/>
      <c r="FG30" s="162"/>
      <c r="FH30" s="162"/>
      <c r="FI30" s="160"/>
      <c r="FJ30" s="160"/>
      <c r="FK30" s="160"/>
      <c r="FL30" s="160"/>
      <c r="FM30" s="160"/>
      <c r="FN30" s="160"/>
      <c r="FO30" s="160"/>
      <c r="FP30" s="162"/>
      <c r="FQ30" s="163"/>
      <c r="FR30" s="164"/>
      <c r="FS30" s="162"/>
      <c r="FT30" s="162"/>
      <c r="FU30" s="162"/>
      <c r="FV30" s="162"/>
      <c r="FW30" s="160"/>
      <c r="FX30" s="160"/>
      <c r="FY30" s="160"/>
      <c r="FZ30" s="160"/>
      <c r="GA30" s="160"/>
      <c r="GB30" s="160"/>
      <c r="GC30" s="160"/>
      <c r="GD30" s="162"/>
      <c r="GE30" s="162"/>
      <c r="GF30" s="162"/>
      <c r="GG30" s="162"/>
      <c r="GH30" s="162"/>
      <c r="GI30" s="162"/>
      <c r="GJ30" s="162"/>
      <c r="GK30" s="160"/>
      <c r="GL30" s="160"/>
      <c r="GM30" s="160"/>
      <c r="GN30" s="160"/>
      <c r="GO30" s="160"/>
      <c r="GP30" s="160"/>
      <c r="GQ30" s="160"/>
      <c r="GR30" s="162"/>
      <c r="GS30" s="162"/>
      <c r="GT30" s="162"/>
      <c r="GU30" s="163"/>
      <c r="GV30" s="164"/>
      <c r="GW30" s="162"/>
      <c r="GX30" s="162"/>
      <c r="GY30" s="160"/>
      <c r="GZ30" s="160"/>
      <c r="HA30" s="160"/>
      <c r="HB30" s="160"/>
      <c r="HC30" s="160"/>
      <c r="HD30" s="160"/>
      <c r="HE30" s="160"/>
      <c r="HF30" s="162"/>
      <c r="HG30" s="162"/>
      <c r="HH30" s="162"/>
      <c r="HI30" s="162"/>
      <c r="HJ30" s="162"/>
      <c r="HK30" s="162"/>
      <c r="HL30" s="162"/>
      <c r="HM30" s="160"/>
      <c r="HN30" s="160"/>
      <c r="HO30" s="160"/>
      <c r="HP30" s="160"/>
      <c r="HQ30" s="160"/>
      <c r="HR30" s="160"/>
      <c r="HS30" s="160"/>
      <c r="HT30" s="162"/>
      <c r="HU30" s="162"/>
      <c r="HV30" s="162"/>
      <c r="HW30" s="162"/>
      <c r="HX30" s="162"/>
      <c r="HY30" s="162"/>
      <c r="HZ30" s="163"/>
      <c r="IA30" s="166"/>
      <c r="IB30" s="160"/>
      <c r="IC30" s="160"/>
      <c r="ID30" s="160"/>
      <c r="IE30" s="160"/>
      <c r="IF30" s="160"/>
      <c r="IG30" s="160"/>
      <c r="IH30" s="162"/>
      <c r="II30" s="162"/>
      <c r="IJ30" s="162"/>
      <c r="IK30" s="162"/>
      <c r="IL30" s="162"/>
      <c r="IM30" s="162"/>
      <c r="IN30" s="162"/>
      <c r="IO30" s="160"/>
      <c r="IP30" s="160"/>
      <c r="IQ30" s="160"/>
      <c r="IR30" s="160"/>
      <c r="IS30" s="160"/>
      <c r="IT30" s="160"/>
      <c r="IU30" s="160"/>
      <c r="IV30" s="162"/>
      <c r="IW30" s="162"/>
      <c r="IX30" s="162"/>
      <c r="IY30" s="162"/>
      <c r="IZ30" s="162"/>
      <c r="JA30" s="162"/>
      <c r="JB30" s="162"/>
      <c r="JC30" s="160"/>
      <c r="JD30" s="165"/>
      <c r="JE30" s="166"/>
      <c r="JF30" s="160"/>
      <c r="JG30" s="160"/>
      <c r="JH30" s="160"/>
      <c r="JI30" s="160"/>
      <c r="JJ30" s="162"/>
      <c r="JK30" s="162"/>
      <c r="JL30" s="162"/>
      <c r="JM30" s="162"/>
      <c r="JN30" s="162"/>
      <c r="JO30" s="162"/>
      <c r="JP30" s="162"/>
      <c r="JQ30" s="160"/>
      <c r="JR30" s="160"/>
      <c r="JS30" s="160"/>
      <c r="JT30" s="160"/>
      <c r="JU30" s="160"/>
      <c r="JV30" s="160"/>
      <c r="JW30" s="160"/>
      <c r="JX30" s="162"/>
      <c r="JY30" s="162"/>
      <c r="JZ30" s="162"/>
      <c r="KA30" s="162"/>
      <c r="KB30" s="162"/>
      <c r="KC30" s="162"/>
      <c r="KD30" s="162"/>
      <c r="KE30" s="160"/>
      <c r="KF30" s="160"/>
      <c r="KG30" s="160"/>
      <c r="KH30" s="160"/>
      <c r="KI30" s="165"/>
      <c r="KJ30" s="166"/>
      <c r="KK30" s="160"/>
      <c r="KL30" s="162"/>
      <c r="KM30" s="162"/>
      <c r="KN30" s="162"/>
      <c r="KO30" s="162"/>
      <c r="KP30" s="162"/>
      <c r="KQ30" s="162"/>
      <c r="KR30" s="162"/>
      <c r="KS30" s="160"/>
      <c r="KT30" s="160"/>
      <c r="KU30" s="160"/>
      <c r="KV30" s="160"/>
      <c r="KW30" s="160"/>
      <c r="KX30" s="160"/>
      <c r="KY30" s="160"/>
      <c r="KZ30" s="162"/>
      <c r="LA30" s="162"/>
      <c r="LB30" s="162"/>
      <c r="LC30" s="162"/>
      <c r="LD30" s="162"/>
      <c r="LE30" s="162"/>
      <c r="LF30" s="162"/>
      <c r="LG30" s="160"/>
      <c r="LH30" s="160"/>
      <c r="LI30" s="160"/>
      <c r="LJ30" s="160"/>
      <c r="LK30" s="160"/>
      <c r="LL30" s="160"/>
      <c r="LM30" s="165"/>
    </row>
    <row r="31" spans="1:325" ht="16.5" outlineLevel="1">
      <c r="A31" s="88"/>
      <c r="B31" s="169" t="s">
        <v>41</v>
      </c>
      <c r="C31" s="226" t="s">
        <v>345</v>
      </c>
      <c r="D31" s="227"/>
      <c r="E31" s="227"/>
      <c r="F31" s="227"/>
      <c r="G31" s="240"/>
      <c r="H31" s="228"/>
      <c r="I31" s="228"/>
      <c r="J31" s="227"/>
      <c r="K31" s="229">
        <f>IF(AND(NOT(ISNUMBER(Gantt!$Q31)),NOT(ISNUMBER(Gantt!$N31))),"",IF(NOT(ISNUMBER(Gantt!$Q31)),0,Gantt!$Q31/Gantt!$N31))</f>
        <v>0.5</v>
      </c>
      <c r="L31" s="230">
        <v>43990</v>
      </c>
      <c r="M31" s="230">
        <v>43993</v>
      </c>
      <c r="N31" s="231">
        <f t="shared" si="0"/>
        <v>4</v>
      </c>
      <c r="O31" s="224">
        <v>43946</v>
      </c>
      <c r="P31" s="224">
        <v>43947</v>
      </c>
      <c r="Q31" s="231">
        <f t="shared" si="1"/>
        <v>2</v>
      </c>
      <c r="R31" s="231" t="str">
        <f t="shared" ca="1" si="2"/>
        <v>완료</v>
      </c>
      <c r="S31" s="188"/>
      <c r="T31" s="159"/>
      <c r="U31" s="162"/>
      <c r="V31" s="162"/>
      <c r="W31" s="162"/>
      <c r="X31" s="162"/>
      <c r="Y31" s="160"/>
      <c r="Z31" s="160"/>
      <c r="AA31" s="160"/>
      <c r="AB31" s="160"/>
      <c r="AC31" s="160"/>
      <c r="AD31" s="160"/>
      <c r="AE31" s="160"/>
      <c r="AF31" s="162"/>
      <c r="AG31" s="162"/>
      <c r="AH31" s="162"/>
      <c r="AI31" s="162"/>
      <c r="AJ31" s="162"/>
      <c r="AK31" s="162"/>
      <c r="AL31" s="162"/>
      <c r="AM31" s="160"/>
      <c r="AN31" s="160"/>
      <c r="AO31" s="160"/>
      <c r="AP31" s="160"/>
      <c r="AQ31" s="160"/>
      <c r="AR31" s="160"/>
      <c r="AS31" s="160"/>
      <c r="AT31" s="162"/>
      <c r="AU31" s="162"/>
      <c r="AV31" s="162"/>
      <c r="AW31" s="162"/>
      <c r="AX31" s="163"/>
      <c r="AY31" s="164"/>
      <c r="AZ31" s="162"/>
      <c r="BA31" s="160"/>
      <c r="BB31" s="160"/>
      <c r="BC31" s="160"/>
      <c r="BD31" s="160"/>
      <c r="BE31" s="160"/>
      <c r="BF31" s="160"/>
      <c r="BG31" s="160"/>
      <c r="BH31" s="162"/>
      <c r="BI31" s="162"/>
      <c r="BJ31" s="162"/>
      <c r="BK31" s="162"/>
      <c r="BL31" s="162"/>
      <c r="BM31" s="162"/>
      <c r="BN31" s="162"/>
      <c r="BO31" s="160"/>
      <c r="BP31" s="160"/>
      <c r="BQ31" s="160"/>
      <c r="BR31" s="160"/>
      <c r="BS31" s="160"/>
      <c r="BT31" s="160"/>
      <c r="BU31" s="160"/>
      <c r="BV31" s="194"/>
      <c r="BW31" s="162"/>
      <c r="BX31" s="162"/>
      <c r="BY31" s="162"/>
      <c r="BZ31" s="162"/>
      <c r="CA31" s="162"/>
      <c r="CB31" s="162"/>
      <c r="CC31" s="165"/>
      <c r="CD31" s="166"/>
      <c r="CE31" s="160"/>
      <c r="CF31" s="160"/>
      <c r="CG31" s="160"/>
      <c r="CH31" s="160"/>
      <c r="CI31" s="160"/>
      <c r="CJ31" s="162"/>
      <c r="CK31" s="162"/>
      <c r="CL31" s="162"/>
      <c r="CM31" s="162"/>
      <c r="CN31" s="162"/>
      <c r="CO31" s="168" t="s">
        <v>287</v>
      </c>
      <c r="CP31" s="162"/>
      <c r="CQ31" s="160"/>
      <c r="CR31" s="160"/>
      <c r="CS31" s="160"/>
      <c r="CT31" s="160"/>
      <c r="CU31" s="160"/>
      <c r="CV31" s="160"/>
      <c r="CW31" s="160"/>
      <c r="CX31" s="162"/>
      <c r="CY31" s="162"/>
      <c r="CZ31" s="162"/>
      <c r="DA31" s="162"/>
      <c r="DB31" s="162"/>
      <c r="DC31" s="162"/>
      <c r="DD31" s="162"/>
      <c r="DE31" s="160"/>
      <c r="DF31" s="160"/>
      <c r="DG31" s="165"/>
      <c r="DH31" s="166"/>
      <c r="DI31" s="160"/>
      <c r="DJ31" s="160"/>
      <c r="DK31" s="160"/>
      <c r="DL31" s="162"/>
      <c r="DM31" s="162"/>
      <c r="DN31" s="162"/>
      <c r="DO31" s="162"/>
      <c r="DP31" s="162"/>
      <c r="DQ31" s="162"/>
      <c r="DR31" s="162"/>
      <c r="DS31" s="160"/>
      <c r="DT31" s="160"/>
      <c r="DU31" s="160"/>
      <c r="DV31" s="160"/>
      <c r="DW31" s="160"/>
      <c r="DX31" s="160"/>
      <c r="DY31" s="160"/>
      <c r="DZ31" s="162"/>
      <c r="EA31" s="162"/>
      <c r="EB31" s="162"/>
      <c r="EC31" s="162"/>
      <c r="ED31" s="162"/>
      <c r="EE31" s="162"/>
      <c r="EF31" s="162"/>
      <c r="EG31" s="160"/>
      <c r="EH31" s="160"/>
      <c r="EI31" s="160"/>
      <c r="EJ31" s="160"/>
      <c r="EK31" s="160"/>
      <c r="EL31" s="165"/>
      <c r="EM31" s="166"/>
      <c r="EN31" s="162"/>
      <c r="EO31" s="162"/>
      <c r="EP31" s="162"/>
      <c r="EQ31" s="162"/>
      <c r="ER31" s="162"/>
      <c r="ES31" s="162"/>
      <c r="ET31" s="162"/>
      <c r="EU31" s="160"/>
      <c r="EV31" s="160"/>
      <c r="EW31" s="160"/>
      <c r="EX31" s="160"/>
      <c r="EY31" s="160"/>
      <c r="EZ31" s="160"/>
      <c r="FA31" s="160"/>
      <c r="FB31" s="162"/>
      <c r="FC31" s="162"/>
      <c r="FD31" s="162"/>
      <c r="FE31" s="162"/>
      <c r="FF31" s="162"/>
      <c r="FG31" s="162"/>
      <c r="FH31" s="162"/>
      <c r="FI31" s="160"/>
      <c r="FJ31" s="160"/>
      <c r="FK31" s="160"/>
      <c r="FL31" s="160"/>
      <c r="FM31" s="160"/>
      <c r="FN31" s="160"/>
      <c r="FO31" s="160"/>
      <c r="FP31" s="162"/>
      <c r="FQ31" s="163"/>
      <c r="FR31" s="164"/>
      <c r="FS31" s="162"/>
      <c r="FT31" s="162"/>
      <c r="FU31" s="162"/>
      <c r="FV31" s="162"/>
      <c r="FW31" s="160"/>
      <c r="FX31" s="160"/>
      <c r="FY31" s="160"/>
      <c r="FZ31" s="160"/>
      <c r="GA31" s="160"/>
      <c r="GB31" s="160"/>
      <c r="GC31" s="160"/>
      <c r="GD31" s="162"/>
      <c r="GE31" s="162"/>
      <c r="GF31" s="162"/>
      <c r="GG31" s="162"/>
      <c r="GH31" s="162"/>
      <c r="GI31" s="162"/>
      <c r="GJ31" s="162"/>
      <c r="GK31" s="160"/>
      <c r="GL31" s="160"/>
      <c r="GM31" s="160"/>
      <c r="GN31" s="160"/>
      <c r="GO31" s="160"/>
      <c r="GP31" s="160"/>
      <c r="GQ31" s="160"/>
      <c r="GR31" s="162"/>
      <c r="GS31" s="162"/>
      <c r="GT31" s="162"/>
      <c r="GU31" s="163"/>
      <c r="GV31" s="164"/>
      <c r="GW31" s="162"/>
      <c r="GX31" s="162"/>
      <c r="GY31" s="160"/>
      <c r="GZ31" s="160"/>
      <c r="HA31" s="160"/>
      <c r="HB31" s="160"/>
      <c r="HC31" s="160"/>
      <c r="HD31" s="160"/>
      <c r="HE31" s="160"/>
      <c r="HF31" s="162"/>
      <c r="HG31" s="162"/>
      <c r="HH31" s="162"/>
      <c r="HI31" s="162"/>
      <c r="HJ31" s="162"/>
      <c r="HK31" s="162"/>
      <c r="HL31" s="162"/>
      <c r="HM31" s="160"/>
      <c r="HN31" s="160"/>
      <c r="HO31" s="160"/>
      <c r="HP31" s="160"/>
      <c r="HQ31" s="160"/>
      <c r="HR31" s="160"/>
      <c r="HS31" s="160"/>
      <c r="HT31" s="162"/>
      <c r="HU31" s="162"/>
      <c r="HV31" s="162"/>
      <c r="HW31" s="162"/>
      <c r="HX31" s="162"/>
      <c r="HY31" s="162"/>
      <c r="HZ31" s="163"/>
      <c r="IA31" s="166"/>
      <c r="IB31" s="160"/>
      <c r="IC31" s="160"/>
      <c r="ID31" s="160"/>
      <c r="IE31" s="160"/>
      <c r="IF31" s="160"/>
      <c r="IG31" s="160"/>
      <c r="IH31" s="162"/>
      <c r="II31" s="162"/>
      <c r="IJ31" s="162"/>
      <c r="IK31" s="162"/>
      <c r="IL31" s="162"/>
      <c r="IM31" s="162"/>
      <c r="IN31" s="162"/>
      <c r="IO31" s="160"/>
      <c r="IP31" s="160"/>
      <c r="IQ31" s="160"/>
      <c r="IR31" s="160"/>
      <c r="IS31" s="160"/>
      <c r="IT31" s="160"/>
      <c r="IU31" s="160"/>
      <c r="IV31" s="162"/>
      <c r="IW31" s="162"/>
      <c r="IX31" s="162"/>
      <c r="IY31" s="162"/>
      <c r="IZ31" s="162"/>
      <c r="JA31" s="162"/>
      <c r="JB31" s="162"/>
      <c r="JC31" s="160"/>
      <c r="JD31" s="165"/>
      <c r="JE31" s="166"/>
      <c r="JF31" s="160"/>
      <c r="JG31" s="160"/>
      <c r="JH31" s="160"/>
      <c r="JI31" s="160"/>
      <c r="JJ31" s="162"/>
      <c r="JK31" s="162"/>
      <c r="JL31" s="162"/>
      <c r="JM31" s="162"/>
      <c r="JN31" s="162"/>
      <c r="JO31" s="162"/>
      <c r="JP31" s="162"/>
      <c r="JQ31" s="160"/>
      <c r="JR31" s="160"/>
      <c r="JS31" s="160"/>
      <c r="JT31" s="160"/>
      <c r="JU31" s="160"/>
      <c r="JV31" s="160"/>
      <c r="JW31" s="160"/>
      <c r="JX31" s="162"/>
      <c r="JY31" s="162"/>
      <c r="JZ31" s="162"/>
      <c r="KA31" s="162"/>
      <c r="KB31" s="162"/>
      <c r="KC31" s="162"/>
      <c r="KD31" s="162"/>
      <c r="KE31" s="160"/>
      <c r="KF31" s="160"/>
      <c r="KG31" s="160"/>
      <c r="KH31" s="160"/>
      <c r="KI31" s="165"/>
      <c r="KJ31" s="166"/>
      <c r="KK31" s="160"/>
      <c r="KL31" s="162"/>
      <c r="KM31" s="162"/>
      <c r="KN31" s="162"/>
      <c r="KO31" s="162"/>
      <c r="KP31" s="162"/>
      <c r="KQ31" s="162"/>
      <c r="KR31" s="162"/>
      <c r="KS31" s="160"/>
      <c r="KT31" s="160"/>
      <c r="KU31" s="160"/>
      <c r="KV31" s="160"/>
      <c r="KW31" s="160"/>
      <c r="KX31" s="160"/>
      <c r="KY31" s="160"/>
      <c r="KZ31" s="162"/>
      <c r="LA31" s="162"/>
      <c r="LB31" s="162"/>
      <c r="LC31" s="162"/>
      <c r="LD31" s="162"/>
      <c r="LE31" s="162"/>
      <c r="LF31" s="162"/>
      <c r="LG31" s="160"/>
      <c r="LH31" s="160"/>
      <c r="LI31" s="160"/>
      <c r="LJ31" s="160"/>
      <c r="LK31" s="160"/>
      <c r="LL31" s="160"/>
      <c r="LM31" s="165"/>
    </row>
    <row r="32" spans="1:325" ht="16.5" outlineLevel="2">
      <c r="A32" s="89"/>
      <c r="B32" s="171" t="s">
        <v>42</v>
      </c>
      <c r="C32" s="241" t="s">
        <v>346</v>
      </c>
      <c r="D32" s="242"/>
      <c r="E32" s="242"/>
      <c r="F32" s="242"/>
      <c r="G32" s="243"/>
      <c r="H32" s="244"/>
      <c r="I32" s="244"/>
      <c r="J32" s="242"/>
      <c r="K32" s="245">
        <f>IF(AND(NOT(ISNUMBER(Gantt!$Q32)),NOT(ISNUMBER(Gantt!$N32))),"",IF(NOT(ISNUMBER(Gantt!$Q32)),0,Gantt!$Q32/Gantt!$N32))</f>
        <v>6</v>
      </c>
      <c r="L32" s="246">
        <v>43991</v>
      </c>
      <c r="M32" s="246">
        <v>43991</v>
      </c>
      <c r="N32" s="247">
        <f t="shared" si="0"/>
        <v>1</v>
      </c>
      <c r="O32" s="230">
        <v>43946</v>
      </c>
      <c r="P32" s="230">
        <v>43951</v>
      </c>
      <c r="Q32" s="247">
        <f t="shared" si="1"/>
        <v>6</v>
      </c>
      <c r="R32" s="247" t="str">
        <f t="shared" ca="1" si="2"/>
        <v>완료</v>
      </c>
      <c r="S32" s="190"/>
      <c r="T32" s="159"/>
      <c r="U32" s="162"/>
      <c r="V32" s="162"/>
      <c r="W32" s="162"/>
      <c r="X32" s="162"/>
      <c r="Y32" s="160"/>
      <c r="Z32" s="160"/>
      <c r="AA32" s="160"/>
      <c r="AB32" s="160"/>
      <c r="AC32" s="160"/>
      <c r="AD32" s="160"/>
      <c r="AE32" s="160"/>
      <c r="AF32" s="162"/>
      <c r="AG32" s="162"/>
      <c r="AH32" s="162"/>
      <c r="AI32" s="162"/>
      <c r="AJ32" s="162"/>
      <c r="AK32" s="162"/>
      <c r="AL32" s="162"/>
      <c r="AM32" s="160"/>
      <c r="AN32" s="160"/>
      <c r="AO32" s="160"/>
      <c r="AP32" s="160"/>
      <c r="AQ32" s="160"/>
      <c r="AR32" s="160"/>
      <c r="AS32" s="160"/>
      <c r="AT32" s="162"/>
      <c r="AU32" s="162"/>
      <c r="AV32" s="162"/>
      <c r="AW32" s="162"/>
      <c r="AX32" s="163"/>
      <c r="AY32" s="164"/>
      <c r="AZ32" s="162"/>
      <c r="BA32" s="160"/>
      <c r="BB32" s="160"/>
      <c r="BC32" s="160"/>
      <c r="BD32" s="160"/>
      <c r="BE32" s="160"/>
      <c r="BF32" s="160"/>
      <c r="BG32" s="160"/>
      <c r="BH32" s="162"/>
      <c r="BI32" s="162"/>
      <c r="BJ32" s="162"/>
      <c r="BK32" s="162"/>
      <c r="BL32" s="162"/>
      <c r="BM32" s="162"/>
      <c r="BN32" s="162"/>
      <c r="BO32" s="160"/>
      <c r="BP32" s="160"/>
      <c r="BQ32" s="160"/>
      <c r="BR32" s="160"/>
      <c r="BS32" s="160"/>
      <c r="BT32" s="193"/>
      <c r="BU32" s="160"/>
      <c r="BV32" s="162"/>
      <c r="BW32" s="162"/>
      <c r="BX32" s="162"/>
      <c r="BY32" s="162"/>
      <c r="BZ32" s="162"/>
      <c r="CA32" s="162"/>
      <c r="CB32" s="162"/>
      <c r="CC32" s="165"/>
      <c r="CD32" s="166"/>
      <c r="CE32" s="160"/>
      <c r="CF32" s="160"/>
      <c r="CG32" s="160"/>
      <c r="CH32" s="160"/>
      <c r="CI32" s="160"/>
      <c r="CJ32" s="162"/>
      <c r="CK32" s="162"/>
      <c r="CL32" s="162"/>
      <c r="CM32" s="168" t="s">
        <v>288</v>
      </c>
      <c r="CN32" s="162"/>
      <c r="CO32" s="162"/>
      <c r="CP32" s="162"/>
      <c r="CQ32" s="160"/>
      <c r="CR32" s="160"/>
      <c r="CS32" s="160"/>
      <c r="CT32" s="160"/>
      <c r="CU32" s="160"/>
      <c r="CV32" s="160"/>
      <c r="CW32" s="160"/>
      <c r="CX32" s="162"/>
      <c r="CY32" s="162"/>
      <c r="CZ32" s="162"/>
      <c r="DA32" s="162"/>
      <c r="DB32" s="162"/>
      <c r="DC32" s="162"/>
      <c r="DD32" s="162"/>
      <c r="DE32" s="160"/>
      <c r="DF32" s="160"/>
      <c r="DG32" s="165"/>
      <c r="DH32" s="166"/>
      <c r="DI32" s="160"/>
      <c r="DJ32" s="160"/>
      <c r="DK32" s="160"/>
      <c r="DL32" s="162"/>
      <c r="DM32" s="162"/>
      <c r="DN32" s="162"/>
      <c r="DO32" s="162"/>
      <c r="DP32" s="162"/>
      <c r="DQ32" s="162"/>
      <c r="DR32" s="162"/>
      <c r="DS32" s="160"/>
      <c r="DT32" s="160"/>
      <c r="DU32" s="160"/>
      <c r="DV32" s="160"/>
      <c r="DW32" s="160"/>
      <c r="DX32" s="160"/>
      <c r="DY32" s="160"/>
      <c r="DZ32" s="162"/>
      <c r="EA32" s="162"/>
      <c r="EB32" s="162"/>
      <c r="EC32" s="162"/>
      <c r="ED32" s="162"/>
      <c r="EE32" s="162"/>
      <c r="EF32" s="162"/>
      <c r="EG32" s="160"/>
      <c r="EH32" s="160"/>
      <c r="EI32" s="160"/>
      <c r="EJ32" s="160"/>
      <c r="EK32" s="160"/>
      <c r="EL32" s="165"/>
      <c r="EM32" s="166"/>
      <c r="EN32" s="162"/>
      <c r="EO32" s="162"/>
      <c r="EP32" s="162"/>
      <c r="EQ32" s="162"/>
      <c r="ER32" s="162"/>
      <c r="ES32" s="162"/>
      <c r="ET32" s="162"/>
      <c r="EU32" s="160"/>
      <c r="EV32" s="160"/>
      <c r="EW32" s="160"/>
      <c r="EX32" s="160"/>
      <c r="EY32" s="160"/>
      <c r="EZ32" s="160"/>
      <c r="FA32" s="160"/>
      <c r="FB32" s="162"/>
      <c r="FC32" s="162"/>
      <c r="FD32" s="162"/>
      <c r="FE32" s="162"/>
      <c r="FF32" s="162"/>
      <c r="FG32" s="162"/>
      <c r="FH32" s="162"/>
      <c r="FI32" s="160"/>
      <c r="FJ32" s="160"/>
      <c r="FK32" s="160"/>
      <c r="FL32" s="160"/>
      <c r="FM32" s="160"/>
      <c r="FN32" s="160"/>
      <c r="FO32" s="160"/>
      <c r="FP32" s="162"/>
      <c r="FQ32" s="163"/>
      <c r="FR32" s="164"/>
      <c r="FS32" s="162"/>
      <c r="FT32" s="162"/>
      <c r="FU32" s="162"/>
      <c r="FV32" s="162"/>
      <c r="FW32" s="160"/>
      <c r="FX32" s="160"/>
      <c r="FY32" s="160"/>
      <c r="FZ32" s="160"/>
      <c r="GA32" s="160"/>
      <c r="GB32" s="160"/>
      <c r="GC32" s="160"/>
      <c r="GD32" s="162"/>
      <c r="GE32" s="162"/>
      <c r="GF32" s="162"/>
      <c r="GG32" s="162"/>
      <c r="GH32" s="162"/>
      <c r="GI32" s="162"/>
      <c r="GJ32" s="162"/>
      <c r="GK32" s="160"/>
      <c r="GL32" s="160"/>
      <c r="GM32" s="160"/>
      <c r="GN32" s="160"/>
      <c r="GO32" s="160"/>
      <c r="GP32" s="160"/>
      <c r="GQ32" s="160"/>
      <c r="GR32" s="162"/>
      <c r="GS32" s="162"/>
      <c r="GT32" s="162"/>
      <c r="GU32" s="163"/>
      <c r="GV32" s="164"/>
      <c r="GW32" s="162"/>
      <c r="GX32" s="162"/>
      <c r="GY32" s="160"/>
      <c r="GZ32" s="160"/>
      <c r="HA32" s="160"/>
      <c r="HB32" s="160"/>
      <c r="HC32" s="160"/>
      <c r="HD32" s="160"/>
      <c r="HE32" s="160"/>
      <c r="HF32" s="162"/>
      <c r="HG32" s="162"/>
      <c r="HH32" s="162"/>
      <c r="HI32" s="162"/>
      <c r="HJ32" s="162"/>
      <c r="HK32" s="162"/>
      <c r="HL32" s="162"/>
      <c r="HM32" s="160"/>
      <c r="HN32" s="160"/>
      <c r="HO32" s="160"/>
      <c r="HP32" s="160"/>
      <c r="HQ32" s="160"/>
      <c r="HR32" s="160"/>
      <c r="HS32" s="160"/>
      <c r="HT32" s="162"/>
      <c r="HU32" s="162"/>
      <c r="HV32" s="162"/>
      <c r="HW32" s="162"/>
      <c r="HX32" s="162"/>
      <c r="HY32" s="162"/>
      <c r="HZ32" s="163"/>
      <c r="IA32" s="166"/>
      <c r="IB32" s="160"/>
      <c r="IC32" s="160"/>
      <c r="ID32" s="160"/>
      <c r="IE32" s="160"/>
      <c r="IF32" s="160"/>
      <c r="IG32" s="160"/>
      <c r="IH32" s="162"/>
      <c r="II32" s="162"/>
      <c r="IJ32" s="162"/>
      <c r="IK32" s="162"/>
      <c r="IL32" s="162"/>
      <c r="IM32" s="162"/>
      <c r="IN32" s="162"/>
      <c r="IO32" s="160"/>
      <c r="IP32" s="160"/>
      <c r="IQ32" s="160"/>
      <c r="IR32" s="160"/>
      <c r="IS32" s="160"/>
      <c r="IT32" s="160"/>
      <c r="IU32" s="160"/>
      <c r="IV32" s="162"/>
      <c r="IW32" s="162"/>
      <c r="IX32" s="162"/>
      <c r="IY32" s="162"/>
      <c r="IZ32" s="162"/>
      <c r="JA32" s="162"/>
      <c r="JB32" s="162"/>
      <c r="JC32" s="160"/>
      <c r="JD32" s="165"/>
      <c r="JE32" s="166"/>
      <c r="JF32" s="160"/>
      <c r="JG32" s="160"/>
      <c r="JH32" s="160"/>
      <c r="JI32" s="160"/>
      <c r="JJ32" s="162"/>
      <c r="JK32" s="162"/>
      <c r="JL32" s="162"/>
      <c r="JM32" s="162"/>
      <c r="JN32" s="162"/>
      <c r="JO32" s="162"/>
      <c r="JP32" s="162"/>
      <c r="JQ32" s="160"/>
      <c r="JR32" s="160"/>
      <c r="JS32" s="160"/>
      <c r="JT32" s="160"/>
      <c r="JU32" s="160"/>
      <c r="JV32" s="160"/>
      <c r="JW32" s="160"/>
      <c r="JX32" s="162"/>
      <c r="JY32" s="162"/>
      <c r="JZ32" s="162"/>
      <c r="KA32" s="162"/>
      <c r="KB32" s="162"/>
      <c r="KC32" s="162"/>
      <c r="KD32" s="162"/>
      <c r="KE32" s="160"/>
      <c r="KF32" s="160"/>
      <c r="KG32" s="160"/>
      <c r="KH32" s="160"/>
      <c r="KI32" s="165"/>
      <c r="KJ32" s="166"/>
      <c r="KK32" s="160"/>
      <c r="KL32" s="162"/>
      <c r="KM32" s="162"/>
      <c r="KN32" s="162"/>
      <c r="KO32" s="162"/>
      <c r="KP32" s="162"/>
      <c r="KQ32" s="162"/>
      <c r="KR32" s="162"/>
      <c r="KS32" s="160"/>
      <c r="KT32" s="160"/>
      <c r="KU32" s="160"/>
      <c r="KV32" s="160"/>
      <c r="KW32" s="160"/>
      <c r="KX32" s="160"/>
      <c r="KY32" s="160"/>
      <c r="KZ32" s="162"/>
      <c r="LA32" s="162"/>
      <c r="LB32" s="162"/>
      <c r="LC32" s="162"/>
      <c r="LD32" s="162"/>
      <c r="LE32" s="162"/>
      <c r="LF32" s="162"/>
      <c r="LG32" s="160"/>
      <c r="LH32" s="160"/>
      <c r="LI32" s="160"/>
      <c r="LJ32" s="160"/>
      <c r="LK32" s="160"/>
      <c r="LL32" s="160"/>
      <c r="LM32" s="165"/>
    </row>
    <row r="33" spans="1:325" ht="16.5" outlineLevel="3">
      <c r="A33" s="14"/>
      <c r="B33" s="157" t="s">
        <v>43</v>
      </c>
      <c r="C33" s="248" t="s">
        <v>345</v>
      </c>
      <c r="D33" s="215"/>
      <c r="E33" s="215"/>
      <c r="F33" s="215"/>
      <c r="G33" s="216" t="s">
        <v>175</v>
      </c>
      <c r="H33" s="217"/>
      <c r="I33" s="217"/>
      <c r="J33" s="218"/>
      <c r="K33" s="219">
        <f>IF(AND(NOT(ISNUMBER(Gantt!$Q33)),NOT(ISNUMBER(Gantt!$N33))),"",IF(NOT(ISNUMBER(Gantt!$Q33)),0,Gantt!$Q33/Gantt!$N33))</f>
        <v>2</v>
      </c>
      <c r="L33" s="220">
        <v>43992</v>
      </c>
      <c r="M33" s="220">
        <v>43992</v>
      </c>
      <c r="N33" s="221">
        <f t="shared" si="0"/>
        <v>1</v>
      </c>
      <c r="O33" s="220">
        <v>43952</v>
      </c>
      <c r="P33" s="220">
        <v>43953</v>
      </c>
      <c r="Q33" s="221">
        <f t="shared" si="1"/>
        <v>2</v>
      </c>
      <c r="R33" s="221" t="str">
        <f t="shared" ca="1" si="2"/>
        <v>완료</v>
      </c>
      <c r="S33" s="167"/>
      <c r="T33" s="159"/>
      <c r="U33" s="162"/>
      <c r="V33" s="162"/>
      <c r="W33" s="162"/>
      <c r="X33" s="162"/>
      <c r="Y33" s="160"/>
      <c r="Z33" s="160"/>
      <c r="AA33" s="160"/>
      <c r="AB33" s="160"/>
      <c r="AC33" s="160"/>
      <c r="AD33" s="160"/>
      <c r="AE33" s="160"/>
      <c r="AF33" s="162"/>
      <c r="AG33" s="162"/>
      <c r="AH33" s="162"/>
      <c r="AI33" s="162"/>
      <c r="AJ33" s="162"/>
      <c r="AK33" s="162"/>
      <c r="AL33" s="162"/>
      <c r="AM33" s="160"/>
      <c r="AN33" s="160"/>
      <c r="AO33" s="160"/>
      <c r="AP33" s="160"/>
      <c r="AQ33" s="160"/>
      <c r="AR33" s="160"/>
      <c r="AS33" s="160"/>
      <c r="AT33" s="162"/>
      <c r="AU33" s="162"/>
      <c r="AV33" s="162"/>
      <c r="AW33" s="162"/>
      <c r="AX33" s="163"/>
      <c r="AY33" s="164"/>
      <c r="AZ33" s="162"/>
      <c r="BA33" s="160"/>
      <c r="BB33" s="160"/>
      <c r="BC33" s="160"/>
      <c r="BD33" s="160"/>
      <c r="BE33" s="160"/>
      <c r="BF33" s="160"/>
      <c r="BG33" s="160"/>
      <c r="BH33" s="162"/>
      <c r="BI33" s="162"/>
      <c r="BJ33" s="162"/>
      <c r="BK33" s="162"/>
      <c r="BL33" s="162"/>
      <c r="BM33" s="162"/>
      <c r="BN33" s="162"/>
      <c r="BO33" s="160"/>
      <c r="BP33" s="160"/>
      <c r="BQ33" s="160"/>
      <c r="BR33" s="160"/>
      <c r="BS33" s="160"/>
      <c r="BT33" s="160"/>
      <c r="BU33" s="193"/>
      <c r="BV33" s="162"/>
      <c r="BW33" s="162"/>
      <c r="BX33" s="162"/>
      <c r="BY33" s="162"/>
      <c r="BZ33" s="162"/>
      <c r="CA33" s="162"/>
      <c r="CB33" s="162"/>
      <c r="CC33" s="165"/>
      <c r="CD33" s="166"/>
      <c r="CE33" s="160"/>
      <c r="CF33" s="160"/>
      <c r="CG33" s="160"/>
      <c r="CH33" s="160"/>
      <c r="CI33" s="160"/>
      <c r="CJ33" s="162"/>
      <c r="CK33" s="162"/>
      <c r="CL33" s="162"/>
      <c r="CM33" s="162"/>
      <c r="CN33" s="168" t="s">
        <v>289</v>
      </c>
      <c r="CO33" s="162"/>
      <c r="CP33" s="162"/>
      <c r="CQ33" s="160"/>
      <c r="CR33" s="160"/>
      <c r="CS33" s="160"/>
      <c r="CT33" s="160"/>
      <c r="CU33" s="160"/>
      <c r="CV33" s="160"/>
      <c r="CW33" s="160"/>
      <c r="CX33" s="162"/>
      <c r="CY33" s="162"/>
      <c r="CZ33" s="162"/>
      <c r="DA33" s="162"/>
      <c r="DB33" s="162"/>
      <c r="DC33" s="162"/>
      <c r="DD33" s="162"/>
      <c r="DE33" s="160"/>
      <c r="DF33" s="160"/>
      <c r="DG33" s="165"/>
      <c r="DH33" s="166"/>
      <c r="DI33" s="160"/>
      <c r="DJ33" s="160"/>
      <c r="DK33" s="160"/>
      <c r="DL33" s="162"/>
      <c r="DM33" s="162"/>
      <c r="DN33" s="162"/>
      <c r="DO33" s="162"/>
      <c r="DP33" s="162"/>
      <c r="DQ33" s="162"/>
      <c r="DR33" s="162"/>
      <c r="DS33" s="160"/>
      <c r="DT33" s="160"/>
      <c r="DU33" s="160"/>
      <c r="DV33" s="160"/>
      <c r="DW33" s="160"/>
      <c r="DX33" s="160"/>
      <c r="DY33" s="160"/>
      <c r="DZ33" s="162"/>
      <c r="EA33" s="162"/>
      <c r="EB33" s="162"/>
      <c r="EC33" s="162"/>
      <c r="ED33" s="162"/>
      <c r="EE33" s="162"/>
      <c r="EF33" s="162"/>
      <c r="EG33" s="160"/>
      <c r="EH33" s="160"/>
      <c r="EI33" s="160"/>
      <c r="EJ33" s="160"/>
      <c r="EK33" s="160"/>
      <c r="EL33" s="165"/>
      <c r="EM33" s="166"/>
      <c r="EN33" s="162"/>
      <c r="EO33" s="162"/>
      <c r="EP33" s="162"/>
      <c r="EQ33" s="162"/>
      <c r="ER33" s="162"/>
      <c r="ES33" s="162"/>
      <c r="ET33" s="162"/>
      <c r="EU33" s="160"/>
      <c r="EV33" s="160"/>
      <c r="EW33" s="160"/>
      <c r="EX33" s="160"/>
      <c r="EY33" s="160"/>
      <c r="EZ33" s="160"/>
      <c r="FA33" s="160"/>
      <c r="FB33" s="162"/>
      <c r="FC33" s="162"/>
      <c r="FD33" s="162"/>
      <c r="FE33" s="162"/>
      <c r="FF33" s="162"/>
      <c r="FG33" s="162"/>
      <c r="FH33" s="162"/>
      <c r="FI33" s="160"/>
      <c r="FJ33" s="160"/>
      <c r="FK33" s="160"/>
      <c r="FL33" s="160"/>
      <c r="FM33" s="160"/>
      <c r="FN33" s="160"/>
      <c r="FO33" s="160"/>
      <c r="FP33" s="162"/>
      <c r="FQ33" s="163"/>
      <c r="FR33" s="164"/>
      <c r="FS33" s="162"/>
      <c r="FT33" s="162"/>
      <c r="FU33" s="162"/>
      <c r="FV33" s="162"/>
      <c r="FW33" s="160"/>
      <c r="FX33" s="160"/>
      <c r="FY33" s="160"/>
      <c r="FZ33" s="160"/>
      <c r="GA33" s="160"/>
      <c r="GB33" s="160"/>
      <c r="GC33" s="160"/>
      <c r="GD33" s="162"/>
      <c r="GE33" s="162"/>
      <c r="GF33" s="162"/>
      <c r="GG33" s="162"/>
      <c r="GH33" s="162"/>
      <c r="GI33" s="162"/>
      <c r="GJ33" s="162"/>
      <c r="GK33" s="160"/>
      <c r="GL33" s="160"/>
      <c r="GM33" s="160"/>
      <c r="GN33" s="160"/>
      <c r="GO33" s="160"/>
      <c r="GP33" s="160"/>
      <c r="GQ33" s="160"/>
      <c r="GR33" s="162"/>
      <c r="GS33" s="162"/>
      <c r="GT33" s="162"/>
      <c r="GU33" s="163"/>
      <c r="GV33" s="164"/>
      <c r="GW33" s="162"/>
      <c r="GX33" s="162"/>
      <c r="GY33" s="160"/>
      <c r="GZ33" s="160"/>
      <c r="HA33" s="160"/>
      <c r="HB33" s="160"/>
      <c r="HC33" s="160"/>
      <c r="HD33" s="160"/>
      <c r="HE33" s="160"/>
      <c r="HF33" s="162"/>
      <c r="HG33" s="162"/>
      <c r="HH33" s="162"/>
      <c r="HI33" s="162"/>
      <c r="HJ33" s="162"/>
      <c r="HK33" s="162"/>
      <c r="HL33" s="162"/>
      <c r="HM33" s="160"/>
      <c r="HN33" s="160"/>
      <c r="HO33" s="160"/>
      <c r="HP33" s="160"/>
      <c r="HQ33" s="160"/>
      <c r="HR33" s="160"/>
      <c r="HS33" s="160"/>
      <c r="HT33" s="162"/>
      <c r="HU33" s="162"/>
      <c r="HV33" s="162"/>
      <c r="HW33" s="162"/>
      <c r="HX33" s="162"/>
      <c r="HY33" s="162"/>
      <c r="HZ33" s="163"/>
      <c r="IA33" s="166"/>
      <c r="IB33" s="160"/>
      <c r="IC33" s="160"/>
      <c r="ID33" s="160"/>
      <c r="IE33" s="160"/>
      <c r="IF33" s="160"/>
      <c r="IG33" s="160"/>
      <c r="IH33" s="162"/>
      <c r="II33" s="162"/>
      <c r="IJ33" s="162"/>
      <c r="IK33" s="162"/>
      <c r="IL33" s="162"/>
      <c r="IM33" s="162"/>
      <c r="IN33" s="162"/>
      <c r="IO33" s="160"/>
      <c r="IP33" s="160"/>
      <c r="IQ33" s="160"/>
      <c r="IR33" s="160"/>
      <c r="IS33" s="160"/>
      <c r="IT33" s="160"/>
      <c r="IU33" s="160"/>
      <c r="IV33" s="162"/>
      <c r="IW33" s="162"/>
      <c r="IX33" s="162"/>
      <c r="IY33" s="162"/>
      <c r="IZ33" s="162"/>
      <c r="JA33" s="162"/>
      <c r="JB33" s="162"/>
      <c r="JC33" s="160"/>
      <c r="JD33" s="165"/>
      <c r="JE33" s="166"/>
      <c r="JF33" s="160"/>
      <c r="JG33" s="160"/>
      <c r="JH33" s="160"/>
      <c r="JI33" s="160"/>
      <c r="JJ33" s="162"/>
      <c r="JK33" s="162"/>
      <c r="JL33" s="162"/>
      <c r="JM33" s="162"/>
      <c r="JN33" s="162"/>
      <c r="JO33" s="162"/>
      <c r="JP33" s="162"/>
      <c r="JQ33" s="160"/>
      <c r="JR33" s="160"/>
      <c r="JS33" s="160"/>
      <c r="JT33" s="160"/>
      <c r="JU33" s="160"/>
      <c r="JV33" s="160"/>
      <c r="JW33" s="160"/>
      <c r="JX33" s="162"/>
      <c r="JY33" s="162"/>
      <c r="JZ33" s="162"/>
      <c r="KA33" s="162"/>
      <c r="KB33" s="162"/>
      <c r="KC33" s="162"/>
      <c r="KD33" s="162"/>
      <c r="KE33" s="160"/>
      <c r="KF33" s="160"/>
      <c r="KG33" s="160"/>
      <c r="KH33" s="160"/>
      <c r="KI33" s="165"/>
      <c r="KJ33" s="166"/>
      <c r="KK33" s="160"/>
      <c r="KL33" s="162"/>
      <c r="KM33" s="162"/>
      <c r="KN33" s="162"/>
      <c r="KO33" s="162"/>
      <c r="KP33" s="162"/>
      <c r="KQ33" s="162"/>
      <c r="KR33" s="162"/>
      <c r="KS33" s="160"/>
      <c r="KT33" s="160"/>
      <c r="KU33" s="160"/>
      <c r="KV33" s="160"/>
      <c r="KW33" s="160"/>
      <c r="KX33" s="160"/>
      <c r="KY33" s="160"/>
      <c r="KZ33" s="162"/>
      <c r="LA33" s="162"/>
      <c r="LB33" s="162"/>
      <c r="LC33" s="162"/>
      <c r="LD33" s="162"/>
      <c r="LE33" s="162"/>
      <c r="LF33" s="162"/>
      <c r="LG33" s="160"/>
      <c r="LH33" s="160"/>
      <c r="LI33" s="160"/>
      <c r="LJ33" s="160"/>
      <c r="LK33" s="160"/>
      <c r="LL33" s="160"/>
      <c r="LM33" s="165"/>
    </row>
    <row r="34" spans="1:325" ht="16.5" outlineLevel="3">
      <c r="A34" s="90"/>
      <c r="B34" s="172" t="s">
        <v>44</v>
      </c>
      <c r="C34" s="249" t="s">
        <v>337</v>
      </c>
      <c r="D34" s="250"/>
      <c r="E34" s="250"/>
      <c r="F34" s="250"/>
      <c r="G34" s="251" t="s">
        <v>176</v>
      </c>
      <c r="H34" s="252"/>
      <c r="I34" s="252"/>
      <c r="J34" s="250"/>
      <c r="K34" s="253">
        <f>IF(AND(NOT(ISNUMBER(Gantt!$Q34)),NOT(ISNUMBER(Gantt!$N34))),"",IF(NOT(ISNUMBER(Gantt!$Q34)),0,Gantt!$Q34/Gantt!$N34))</f>
        <v>8</v>
      </c>
      <c r="L34" s="254">
        <v>43993</v>
      </c>
      <c r="M34" s="254">
        <v>43993</v>
      </c>
      <c r="N34" s="255">
        <f t="shared" si="0"/>
        <v>1</v>
      </c>
      <c r="O34" s="220">
        <v>43952</v>
      </c>
      <c r="P34" s="220">
        <v>43959</v>
      </c>
      <c r="Q34" s="255">
        <f t="shared" si="1"/>
        <v>8</v>
      </c>
      <c r="R34" s="255" t="str">
        <f t="shared" ca="1" si="2"/>
        <v>완료</v>
      </c>
      <c r="S34" s="191"/>
      <c r="T34" s="159"/>
      <c r="U34" s="162"/>
      <c r="V34" s="162"/>
      <c r="W34" s="162"/>
      <c r="X34" s="162"/>
      <c r="Y34" s="160"/>
      <c r="Z34" s="160"/>
      <c r="AA34" s="160"/>
      <c r="AB34" s="160"/>
      <c r="AC34" s="160"/>
      <c r="AD34" s="160"/>
      <c r="AE34" s="160"/>
      <c r="AF34" s="162"/>
      <c r="AG34" s="162"/>
      <c r="AH34" s="162"/>
      <c r="AI34" s="162"/>
      <c r="AJ34" s="162"/>
      <c r="AK34" s="162"/>
      <c r="AL34" s="162"/>
      <c r="AM34" s="160"/>
      <c r="AN34" s="160"/>
      <c r="AO34" s="160"/>
      <c r="AP34" s="160"/>
      <c r="AQ34" s="160"/>
      <c r="AR34" s="160"/>
      <c r="AS34" s="160"/>
      <c r="AT34" s="162"/>
      <c r="AU34" s="162"/>
      <c r="AV34" s="162"/>
      <c r="AW34" s="162"/>
      <c r="AX34" s="163"/>
      <c r="AY34" s="164"/>
      <c r="AZ34" s="162"/>
      <c r="BA34" s="160"/>
      <c r="BB34" s="160"/>
      <c r="BC34" s="160"/>
      <c r="BD34" s="160"/>
      <c r="BE34" s="160"/>
      <c r="BF34" s="160"/>
      <c r="BG34" s="160"/>
      <c r="BH34" s="162"/>
      <c r="BI34" s="162"/>
      <c r="BJ34" s="162"/>
      <c r="BK34" s="162"/>
      <c r="BL34" s="162"/>
      <c r="BM34" s="162"/>
      <c r="BN34" s="162"/>
      <c r="BO34" s="160"/>
      <c r="BP34" s="160"/>
      <c r="BQ34" s="160"/>
      <c r="BR34" s="160"/>
      <c r="BS34" s="160"/>
      <c r="BT34" s="160"/>
      <c r="BU34" s="160"/>
      <c r="BV34" s="194"/>
      <c r="BW34" s="162"/>
      <c r="BX34" s="162"/>
      <c r="BY34" s="162"/>
      <c r="BZ34" s="162"/>
      <c r="CA34" s="162"/>
      <c r="CB34" s="162"/>
      <c r="CC34" s="165"/>
      <c r="CD34" s="166"/>
      <c r="CE34" s="160"/>
      <c r="CF34" s="160"/>
      <c r="CG34" s="160"/>
      <c r="CH34" s="160"/>
      <c r="CI34" s="160"/>
      <c r="CJ34" s="162"/>
      <c r="CK34" s="162"/>
      <c r="CL34" s="162"/>
      <c r="CM34" s="162"/>
      <c r="CN34" s="162"/>
      <c r="CO34" s="168" t="s">
        <v>290</v>
      </c>
      <c r="CP34" s="162"/>
      <c r="CQ34" s="160"/>
      <c r="CR34" s="160"/>
      <c r="CS34" s="160"/>
      <c r="CT34" s="160"/>
      <c r="CU34" s="160"/>
      <c r="CV34" s="160"/>
      <c r="CW34" s="160"/>
      <c r="CX34" s="162"/>
      <c r="CY34" s="162"/>
      <c r="CZ34" s="162"/>
      <c r="DA34" s="162"/>
      <c r="DB34" s="162"/>
      <c r="DC34" s="162"/>
      <c r="DD34" s="162"/>
      <c r="DE34" s="160"/>
      <c r="DF34" s="160"/>
      <c r="DG34" s="165"/>
      <c r="DH34" s="166"/>
      <c r="DI34" s="160"/>
      <c r="DJ34" s="160"/>
      <c r="DK34" s="160"/>
      <c r="DL34" s="162"/>
      <c r="DM34" s="162"/>
      <c r="DN34" s="162"/>
      <c r="DO34" s="162"/>
      <c r="DP34" s="162"/>
      <c r="DQ34" s="162"/>
      <c r="DR34" s="162"/>
      <c r="DS34" s="160"/>
      <c r="DT34" s="160"/>
      <c r="DU34" s="160"/>
      <c r="DV34" s="160"/>
      <c r="DW34" s="160"/>
      <c r="DX34" s="160"/>
      <c r="DY34" s="160"/>
      <c r="DZ34" s="162"/>
      <c r="EA34" s="162"/>
      <c r="EB34" s="162"/>
      <c r="EC34" s="162"/>
      <c r="ED34" s="162"/>
      <c r="EE34" s="162"/>
      <c r="EF34" s="162"/>
      <c r="EG34" s="160"/>
      <c r="EH34" s="160"/>
      <c r="EI34" s="160"/>
      <c r="EJ34" s="160"/>
      <c r="EK34" s="160"/>
      <c r="EL34" s="165"/>
      <c r="EM34" s="166"/>
      <c r="EN34" s="162"/>
      <c r="EO34" s="162"/>
      <c r="EP34" s="162"/>
      <c r="EQ34" s="162"/>
      <c r="ER34" s="162"/>
      <c r="ES34" s="162"/>
      <c r="ET34" s="162"/>
      <c r="EU34" s="160"/>
      <c r="EV34" s="160"/>
      <c r="EW34" s="160"/>
      <c r="EX34" s="160"/>
      <c r="EY34" s="160"/>
      <c r="EZ34" s="160"/>
      <c r="FA34" s="160"/>
      <c r="FB34" s="162"/>
      <c r="FC34" s="162"/>
      <c r="FD34" s="162"/>
      <c r="FE34" s="162"/>
      <c r="FF34" s="162"/>
      <c r="FG34" s="162"/>
      <c r="FH34" s="162"/>
      <c r="FI34" s="160"/>
      <c r="FJ34" s="160"/>
      <c r="FK34" s="160"/>
      <c r="FL34" s="160"/>
      <c r="FM34" s="160"/>
      <c r="FN34" s="160"/>
      <c r="FO34" s="160"/>
      <c r="FP34" s="162"/>
      <c r="FQ34" s="163"/>
      <c r="FR34" s="164"/>
      <c r="FS34" s="162"/>
      <c r="FT34" s="162"/>
      <c r="FU34" s="162"/>
      <c r="FV34" s="162"/>
      <c r="FW34" s="160"/>
      <c r="FX34" s="160"/>
      <c r="FY34" s="160"/>
      <c r="FZ34" s="160"/>
      <c r="GA34" s="160"/>
      <c r="GB34" s="160"/>
      <c r="GC34" s="160"/>
      <c r="GD34" s="162"/>
      <c r="GE34" s="162"/>
      <c r="GF34" s="162"/>
      <c r="GG34" s="162"/>
      <c r="GH34" s="162"/>
      <c r="GI34" s="162"/>
      <c r="GJ34" s="162"/>
      <c r="GK34" s="160"/>
      <c r="GL34" s="160"/>
      <c r="GM34" s="160"/>
      <c r="GN34" s="160"/>
      <c r="GO34" s="160"/>
      <c r="GP34" s="160"/>
      <c r="GQ34" s="160"/>
      <c r="GR34" s="162"/>
      <c r="GS34" s="162"/>
      <c r="GT34" s="162"/>
      <c r="GU34" s="163"/>
      <c r="GV34" s="164"/>
      <c r="GW34" s="162"/>
      <c r="GX34" s="162"/>
      <c r="GY34" s="160"/>
      <c r="GZ34" s="160"/>
      <c r="HA34" s="160"/>
      <c r="HB34" s="160"/>
      <c r="HC34" s="160"/>
      <c r="HD34" s="160"/>
      <c r="HE34" s="160"/>
      <c r="HF34" s="162"/>
      <c r="HG34" s="162"/>
      <c r="HH34" s="162"/>
      <c r="HI34" s="162"/>
      <c r="HJ34" s="162"/>
      <c r="HK34" s="162"/>
      <c r="HL34" s="162"/>
      <c r="HM34" s="160"/>
      <c r="HN34" s="160"/>
      <c r="HO34" s="160"/>
      <c r="HP34" s="160"/>
      <c r="HQ34" s="160"/>
      <c r="HR34" s="160"/>
      <c r="HS34" s="160"/>
      <c r="HT34" s="162"/>
      <c r="HU34" s="162"/>
      <c r="HV34" s="162"/>
      <c r="HW34" s="162"/>
      <c r="HX34" s="162"/>
      <c r="HY34" s="162"/>
      <c r="HZ34" s="163"/>
      <c r="IA34" s="166"/>
      <c r="IB34" s="160"/>
      <c r="IC34" s="160"/>
      <c r="ID34" s="160"/>
      <c r="IE34" s="160"/>
      <c r="IF34" s="160"/>
      <c r="IG34" s="160"/>
      <c r="IH34" s="162"/>
      <c r="II34" s="162"/>
      <c r="IJ34" s="162"/>
      <c r="IK34" s="162"/>
      <c r="IL34" s="162"/>
      <c r="IM34" s="162"/>
      <c r="IN34" s="162"/>
      <c r="IO34" s="160"/>
      <c r="IP34" s="160"/>
      <c r="IQ34" s="160"/>
      <c r="IR34" s="160"/>
      <c r="IS34" s="160"/>
      <c r="IT34" s="160"/>
      <c r="IU34" s="160"/>
      <c r="IV34" s="162"/>
      <c r="IW34" s="162"/>
      <c r="IX34" s="162"/>
      <c r="IY34" s="162"/>
      <c r="IZ34" s="162"/>
      <c r="JA34" s="162"/>
      <c r="JB34" s="162"/>
      <c r="JC34" s="160"/>
      <c r="JD34" s="165"/>
      <c r="JE34" s="166"/>
      <c r="JF34" s="160"/>
      <c r="JG34" s="160"/>
      <c r="JH34" s="160"/>
      <c r="JI34" s="160"/>
      <c r="JJ34" s="162"/>
      <c r="JK34" s="162"/>
      <c r="JL34" s="162"/>
      <c r="JM34" s="162"/>
      <c r="JN34" s="162"/>
      <c r="JO34" s="162"/>
      <c r="JP34" s="162"/>
      <c r="JQ34" s="160"/>
      <c r="JR34" s="160"/>
      <c r="JS34" s="160"/>
      <c r="JT34" s="160"/>
      <c r="JU34" s="160"/>
      <c r="JV34" s="160"/>
      <c r="JW34" s="160"/>
      <c r="JX34" s="162"/>
      <c r="JY34" s="162"/>
      <c r="JZ34" s="162"/>
      <c r="KA34" s="162"/>
      <c r="KB34" s="162"/>
      <c r="KC34" s="162"/>
      <c r="KD34" s="162"/>
      <c r="KE34" s="160"/>
      <c r="KF34" s="160"/>
      <c r="KG34" s="160"/>
      <c r="KH34" s="160"/>
      <c r="KI34" s="165"/>
      <c r="KJ34" s="166"/>
      <c r="KK34" s="160"/>
      <c r="KL34" s="162"/>
      <c r="KM34" s="162"/>
      <c r="KN34" s="162"/>
      <c r="KO34" s="162"/>
      <c r="KP34" s="162"/>
      <c r="KQ34" s="162"/>
      <c r="KR34" s="162"/>
      <c r="KS34" s="160"/>
      <c r="KT34" s="160"/>
      <c r="KU34" s="160"/>
      <c r="KV34" s="160"/>
      <c r="KW34" s="160"/>
      <c r="KX34" s="160"/>
      <c r="KY34" s="160"/>
      <c r="KZ34" s="162"/>
      <c r="LA34" s="162"/>
      <c r="LB34" s="162"/>
      <c r="LC34" s="162"/>
      <c r="LD34" s="162"/>
      <c r="LE34" s="162"/>
      <c r="LF34" s="162"/>
      <c r="LG34" s="160"/>
      <c r="LH34" s="160"/>
      <c r="LI34" s="160"/>
      <c r="LJ34" s="160"/>
      <c r="LK34" s="160"/>
      <c r="LL34" s="160"/>
      <c r="LM34" s="165"/>
    </row>
    <row r="35" spans="1:325" ht="16.5" outlineLevel="4">
      <c r="A35" s="14"/>
      <c r="B35" s="157" t="s">
        <v>45</v>
      </c>
      <c r="C35" s="256" t="s">
        <v>347</v>
      </c>
      <c r="D35" s="215"/>
      <c r="E35" s="215"/>
      <c r="F35" s="215"/>
      <c r="G35" s="216" t="s">
        <v>44</v>
      </c>
      <c r="H35" s="217"/>
      <c r="I35" s="217"/>
      <c r="J35" s="218"/>
      <c r="K35" s="219">
        <f>IF(AND(NOT(ISNUMBER(Gantt!$Q35)),NOT(ISNUMBER(Gantt!$N35))),"",IF(NOT(ISNUMBER(Gantt!$Q35)),0,Gantt!$Q35/Gantt!$N35))</f>
        <v>2.6666666666666665</v>
      </c>
      <c r="L35" s="220">
        <v>43993</v>
      </c>
      <c r="M35" s="220">
        <v>43995</v>
      </c>
      <c r="N35" s="221">
        <f t="shared" si="0"/>
        <v>3</v>
      </c>
      <c r="O35" s="239">
        <v>43956</v>
      </c>
      <c r="P35" s="239">
        <v>43963</v>
      </c>
      <c r="Q35" s="221">
        <f t="shared" si="1"/>
        <v>8</v>
      </c>
      <c r="R35" s="221" t="str">
        <f t="shared" ca="1" si="2"/>
        <v>완료</v>
      </c>
      <c r="S35" s="167"/>
      <c r="T35" s="159"/>
      <c r="U35" s="162"/>
      <c r="V35" s="162"/>
      <c r="W35" s="162"/>
      <c r="X35" s="162"/>
      <c r="Y35" s="160"/>
      <c r="Z35" s="160"/>
      <c r="AA35" s="160"/>
      <c r="AB35" s="160"/>
      <c r="AC35" s="160"/>
      <c r="AD35" s="160"/>
      <c r="AE35" s="160"/>
      <c r="AF35" s="162"/>
      <c r="AG35" s="162"/>
      <c r="AH35" s="162"/>
      <c r="AI35" s="162"/>
      <c r="AJ35" s="162"/>
      <c r="AK35" s="162"/>
      <c r="AL35" s="162"/>
      <c r="AM35" s="160"/>
      <c r="AN35" s="160"/>
      <c r="AO35" s="160"/>
      <c r="AP35" s="160"/>
      <c r="AQ35" s="160"/>
      <c r="AR35" s="160"/>
      <c r="AS35" s="160"/>
      <c r="AT35" s="162"/>
      <c r="AU35" s="162"/>
      <c r="AV35" s="162"/>
      <c r="AW35" s="162"/>
      <c r="AX35" s="163"/>
      <c r="AY35" s="164"/>
      <c r="AZ35" s="162"/>
      <c r="BA35" s="160"/>
      <c r="BB35" s="160"/>
      <c r="BC35" s="160"/>
      <c r="BD35" s="160"/>
      <c r="BE35" s="160"/>
      <c r="BF35" s="160"/>
      <c r="BG35" s="160"/>
      <c r="BH35" s="162"/>
      <c r="BI35" s="162"/>
      <c r="BJ35" s="162"/>
      <c r="BK35" s="162"/>
      <c r="BL35" s="162"/>
      <c r="BM35" s="162"/>
      <c r="BN35" s="162"/>
      <c r="BO35" s="160"/>
      <c r="BP35" s="160"/>
      <c r="BQ35" s="160"/>
      <c r="BR35" s="160"/>
      <c r="BS35" s="160"/>
      <c r="BT35" s="160"/>
      <c r="BU35" s="160"/>
      <c r="BV35" s="162"/>
      <c r="BW35" s="162"/>
      <c r="BX35" s="194"/>
      <c r="BY35" s="162"/>
      <c r="BZ35" s="162"/>
      <c r="CA35" s="162"/>
      <c r="CB35" s="162"/>
      <c r="CC35" s="165"/>
      <c r="CD35" s="166"/>
      <c r="CE35" s="160"/>
      <c r="CF35" s="160"/>
      <c r="CG35" s="160"/>
      <c r="CH35" s="160"/>
      <c r="CI35" s="160"/>
      <c r="CJ35" s="162"/>
      <c r="CK35" s="162"/>
      <c r="CL35" s="162"/>
      <c r="CM35" s="162"/>
      <c r="CN35" s="162"/>
      <c r="CO35" s="162"/>
      <c r="CP35" s="162"/>
      <c r="CQ35" s="161" t="s">
        <v>291</v>
      </c>
      <c r="CR35" s="160"/>
      <c r="CS35" s="160"/>
      <c r="CT35" s="160"/>
      <c r="CU35" s="160"/>
      <c r="CV35" s="160"/>
      <c r="CW35" s="160"/>
      <c r="CX35" s="162"/>
      <c r="CY35" s="162"/>
      <c r="CZ35" s="162"/>
      <c r="DA35" s="162"/>
      <c r="DB35" s="162"/>
      <c r="DC35" s="162"/>
      <c r="DD35" s="162"/>
      <c r="DE35" s="160"/>
      <c r="DF35" s="160"/>
      <c r="DG35" s="165"/>
      <c r="DH35" s="166"/>
      <c r="DI35" s="160"/>
      <c r="DJ35" s="160"/>
      <c r="DK35" s="160"/>
      <c r="DL35" s="162"/>
      <c r="DM35" s="162"/>
      <c r="DN35" s="162"/>
      <c r="DO35" s="162"/>
      <c r="DP35" s="162"/>
      <c r="DQ35" s="162"/>
      <c r="DR35" s="162"/>
      <c r="DS35" s="160"/>
      <c r="DT35" s="160"/>
      <c r="DU35" s="160"/>
      <c r="DV35" s="160"/>
      <c r="DW35" s="160"/>
      <c r="DX35" s="160"/>
      <c r="DY35" s="160"/>
      <c r="DZ35" s="162"/>
      <c r="EA35" s="162"/>
      <c r="EB35" s="162"/>
      <c r="EC35" s="162"/>
      <c r="ED35" s="162"/>
      <c r="EE35" s="162"/>
      <c r="EF35" s="162"/>
      <c r="EG35" s="160"/>
      <c r="EH35" s="160"/>
      <c r="EI35" s="160"/>
      <c r="EJ35" s="160"/>
      <c r="EK35" s="160"/>
      <c r="EL35" s="165"/>
      <c r="EM35" s="166"/>
      <c r="EN35" s="162"/>
      <c r="EO35" s="162"/>
      <c r="EP35" s="162"/>
      <c r="EQ35" s="162"/>
      <c r="ER35" s="162"/>
      <c r="ES35" s="162"/>
      <c r="ET35" s="162"/>
      <c r="EU35" s="160"/>
      <c r="EV35" s="160"/>
      <c r="EW35" s="160"/>
      <c r="EX35" s="160"/>
      <c r="EY35" s="160"/>
      <c r="EZ35" s="160"/>
      <c r="FA35" s="160"/>
      <c r="FB35" s="162"/>
      <c r="FC35" s="162"/>
      <c r="FD35" s="162"/>
      <c r="FE35" s="162"/>
      <c r="FF35" s="162"/>
      <c r="FG35" s="162"/>
      <c r="FH35" s="162"/>
      <c r="FI35" s="160"/>
      <c r="FJ35" s="160"/>
      <c r="FK35" s="160"/>
      <c r="FL35" s="160"/>
      <c r="FM35" s="160"/>
      <c r="FN35" s="160"/>
      <c r="FO35" s="160"/>
      <c r="FP35" s="162"/>
      <c r="FQ35" s="163"/>
      <c r="FR35" s="164"/>
      <c r="FS35" s="162"/>
      <c r="FT35" s="162"/>
      <c r="FU35" s="162"/>
      <c r="FV35" s="162"/>
      <c r="FW35" s="160"/>
      <c r="FX35" s="160"/>
      <c r="FY35" s="160"/>
      <c r="FZ35" s="160"/>
      <c r="GA35" s="160"/>
      <c r="GB35" s="160"/>
      <c r="GC35" s="160"/>
      <c r="GD35" s="162"/>
      <c r="GE35" s="162"/>
      <c r="GF35" s="162"/>
      <c r="GG35" s="162"/>
      <c r="GH35" s="162"/>
      <c r="GI35" s="162"/>
      <c r="GJ35" s="162"/>
      <c r="GK35" s="160"/>
      <c r="GL35" s="160"/>
      <c r="GM35" s="160"/>
      <c r="GN35" s="160"/>
      <c r="GO35" s="160"/>
      <c r="GP35" s="160"/>
      <c r="GQ35" s="160"/>
      <c r="GR35" s="162"/>
      <c r="GS35" s="162"/>
      <c r="GT35" s="162"/>
      <c r="GU35" s="163"/>
      <c r="GV35" s="164"/>
      <c r="GW35" s="162"/>
      <c r="GX35" s="162"/>
      <c r="GY35" s="160"/>
      <c r="GZ35" s="160"/>
      <c r="HA35" s="160"/>
      <c r="HB35" s="160"/>
      <c r="HC35" s="160"/>
      <c r="HD35" s="160"/>
      <c r="HE35" s="160"/>
      <c r="HF35" s="162"/>
      <c r="HG35" s="162"/>
      <c r="HH35" s="162"/>
      <c r="HI35" s="162"/>
      <c r="HJ35" s="162"/>
      <c r="HK35" s="162"/>
      <c r="HL35" s="162"/>
      <c r="HM35" s="160"/>
      <c r="HN35" s="160"/>
      <c r="HO35" s="160"/>
      <c r="HP35" s="160"/>
      <c r="HQ35" s="160"/>
      <c r="HR35" s="160"/>
      <c r="HS35" s="160"/>
      <c r="HT35" s="162"/>
      <c r="HU35" s="162"/>
      <c r="HV35" s="162"/>
      <c r="HW35" s="162"/>
      <c r="HX35" s="162"/>
      <c r="HY35" s="162"/>
      <c r="HZ35" s="163"/>
      <c r="IA35" s="166"/>
      <c r="IB35" s="160"/>
      <c r="IC35" s="160"/>
      <c r="ID35" s="160"/>
      <c r="IE35" s="160"/>
      <c r="IF35" s="160"/>
      <c r="IG35" s="160"/>
      <c r="IH35" s="162"/>
      <c r="II35" s="162"/>
      <c r="IJ35" s="162"/>
      <c r="IK35" s="162"/>
      <c r="IL35" s="162"/>
      <c r="IM35" s="162"/>
      <c r="IN35" s="162"/>
      <c r="IO35" s="160"/>
      <c r="IP35" s="160"/>
      <c r="IQ35" s="160"/>
      <c r="IR35" s="160"/>
      <c r="IS35" s="160"/>
      <c r="IT35" s="160"/>
      <c r="IU35" s="160"/>
      <c r="IV35" s="162"/>
      <c r="IW35" s="162"/>
      <c r="IX35" s="162"/>
      <c r="IY35" s="162"/>
      <c r="IZ35" s="162"/>
      <c r="JA35" s="162"/>
      <c r="JB35" s="162"/>
      <c r="JC35" s="160"/>
      <c r="JD35" s="165"/>
      <c r="JE35" s="166"/>
      <c r="JF35" s="160"/>
      <c r="JG35" s="160"/>
      <c r="JH35" s="160"/>
      <c r="JI35" s="160"/>
      <c r="JJ35" s="162"/>
      <c r="JK35" s="162"/>
      <c r="JL35" s="162"/>
      <c r="JM35" s="162"/>
      <c r="JN35" s="162"/>
      <c r="JO35" s="162"/>
      <c r="JP35" s="162"/>
      <c r="JQ35" s="160"/>
      <c r="JR35" s="160"/>
      <c r="JS35" s="160"/>
      <c r="JT35" s="160"/>
      <c r="JU35" s="160"/>
      <c r="JV35" s="160"/>
      <c r="JW35" s="160"/>
      <c r="JX35" s="162"/>
      <c r="JY35" s="162"/>
      <c r="JZ35" s="162"/>
      <c r="KA35" s="162"/>
      <c r="KB35" s="162"/>
      <c r="KC35" s="162"/>
      <c r="KD35" s="162"/>
      <c r="KE35" s="160"/>
      <c r="KF35" s="160"/>
      <c r="KG35" s="160"/>
      <c r="KH35" s="160"/>
      <c r="KI35" s="165"/>
      <c r="KJ35" s="166"/>
      <c r="KK35" s="160"/>
      <c r="KL35" s="162"/>
      <c r="KM35" s="162"/>
      <c r="KN35" s="162"/>
      <c r="KO35" s="162"/>
      <c r="KP35" s="162"/>
      <c r="KQ35" s="162"/>
      <c r="KR35" s="162"/>
      <c r="KS35" s="160"/>
      <c r="KT35" s="160"/>
      <c r="KU35" s="160"/>
      <c r="KV35" s="160"/>
      <c r="KW35" s="160"/>
      <c r="KX35" s="160"/>
      <c r="KY35" s="160"/>
      <c r="KZ35" s="162"/>
      <c r="LA35" s="162"/>
      <c r="LB35" s="162"/>
      <c r="LC35" s="162"/>
      <c r="LD35" s="162"/>
      <c r="LE35" s="162"/>
      <c r="LF35" s="162"/>
      <c r="LG35" s="160"/>
      <c r="LH35" s="160"/>
      <c r="LI35" s="160"/>
      <c r="LJ35" s="160"/>
      <c r="LK35" s="160"/>
      <c r="LL35" s="160"/>
      <c r="LM35" s="165"/>
    </row>
    <row r="36" spans="1:325" ht="16.5" outlineLevel="4">
      <c r="A36" s="91"/>
      <c r="B36" s="173" t="s">
        <v>46</v>
      </c>
      <c r="C36" s="257" t="s">
        <v>344</v>
      </c>
      <c r="D36" s="258"/>
      <c r="E36" s="258"/>
      <c r="F36" s="258"/>
      <c r="G36" s="259"/>
      <c r="H36" s="260"/>
      <c r="I36" s="260"/>
      <c r="J36" s="258" t="s">
        <v>17</v>
      </c>
      <c r="K36" s="261">
        <f>IF(AND(NOT(ISNUMBER(Gantt!$Q36)),NOT(ISNUMBER(Gantt!$N36))),"",IF(NOT(ISNUMBER(Gantt!$Q36)),0,Gantt!$Q36/Gantt!$N36))</f>
        <v>1.3333333333333333</v>
      </c>
      <c r="L36" s="262">
        <v>43995</v>
      </c>
      <c r="M36" s="262">
        <v>43997</v>
      </c>
      <c r="N36" s="263">
        <f t="shared" si="0"/>
        <v>3</v>
      </c>
      <c r="O36" s="224">
        <v>43941</v>
      </c>
      <c r="P36" s="224">
        <v>43944</v>
      </c>
      <c r="Q36" s="263">
        <f t="shared" si="1"/>
        <v>4</v>
      </c>
      <c r="R36" s="263" t="str">
        <f t="shared" ca="1" si="2"/>
        <v>완료</v>
      </c>
      <c r="S36" s="192"/>
      <c r="T36" s="159"/>
      <c r="U36" s="162"/>
      <c r="V36" s="162"/>
      <c r="W36" s="162"/>
      <c r="X36" s="162"/>
      <c r="Y36" s="160"/>
      <c r="Z36" s="160"/>
      <c r="AA36" s="160"/>
      <c r="AB36" s="160"/>
      <c r="AC36" s="160"/>
      <c r="AD36" s="160"/>
      <c r="AE36" s="160"/>
      <c r="AF36" s="162"/>
      <c r="AG36" s="162"/>
      <c r="AH36" s="162"/>
      <c r="AI36" s="162"/>
      <c r="AJ36" s="162"/>
      <c r="AK36" s="162"/>
      <c r="AL36" s="162"/>
      <c r="AM36" s="160"/>
      <c r="AN36" s="160"/>
      <c r="AO36" s="160"/>
      <c r="AP36" s="160"/>
      <c r="AQ36" s="160"/>
      <c r="AR36" s="160"/>
      <c r="AS36" s="160"/>
      <c r="AT36" s="162"/>
      <c r="AU36" s="162"/>
      <c r="AV36" s="162"/>
      <c r="AW36" s="162"/>
      <c r="AX36" s="163"/>
      <c r="AY36" s="164"/>
      <c r="AZ36" s="162"/>
      <c r="BA36" s="160"/>
      <c r="BB36" s="160"/>
      <c r="BC36" s="160"/>
      <c r="BD36" s="160"/>
      <c r="BE36" s="160"/>
      <c r="BF36" s="160"/>
      <c r="BG36" s="160"/>
      <c r="BH36" s="162"/>
      <c r="BI36" s="162"/>
      <c r="BJ36" s="162"/>
      <c r="BK36" s="162"/>
      <c r="BL36" s="162"/>
      <c r="BM36" s="162"/>
      <c r="BN36" s="162"/>
      <c r="BO36" s="160"/>
      <c r="BP36" s="160"/>
      <c r="BQ36" s="160"/>
      <c r="BR36" s="160"/>
      <c r="BS36" s="160"/>
      <c r="BT36" s="160"/>
      <c r="BU36" s="160"/>
      <c r="BV36" s="162"/>
      <c r="BW36" s="162"/>
      <c r="BX36" s="162"/>
      <c r="BY36" s="162"/>
      <c r="BZ36" s="194"/>
      <c r="CA36" s="162"/>
      <c r="CB36" s="162"/>
      <c r="CC36" s="165"/>
      <c r="CD36" s="166"/>
      <c r="CE36" s="160"/>
      <c r="CF36" s="160"/>
      <c r="CG36" s="160"/>
      <c r="CH36" s="160"/>
      <c r="CI36" s="160"/>
      <c r="CJ36" s="162"/>
      <c r="CK36" s="162"/>
      <c r="CL36" s="162"/>
      <c r="CM36" s="162"/>
      <c r="CN36" s="162"/>
      <c r="CO36" s="162"/>
      <c r="CP36" s="162"/>
      <c r="CQ36" s="160"/>
      <c r="CR36" s="160"/>
      <c r="CS36" s="161" t="s">
        <v>292</v>
      </c>
      <c r="CT36" s="160"/>
      <c r="CU36" s="160"/>
      <c r="CV36" s="160"/>
      <c r="CW36" s="160"/>
      <c r="CX36" s="162"/>
      <c r="CY36" s="162"/>
      <c r="CZ36" s="162"/>
      <c r="DA36" s="162"/>
      <c r="DB36" s="162"/>
      <c r="DC36" s="162"/>
      <c r="DD36" s="162"/>
      <c r="DE36" s="160"/>
      <c r="DF36" s="160"/>
      <c r="DG36" s="165"/>
      <c r="DH36" s="166"/>
      <c r="DI36" s="160"/>
      <c r="DJ36" s="160"/>
      <c r="DK36" s="160"/>
      <c r="DL36" s="162"/>
      <c r="DM36" s="162"/>
      <c r="DN36" s="162"/>
      <c r="DO36" s="162"/>
      <c r="DP36" s="162"/>
      <c r="DQ36" s="162"/>
      <c r="DR36" s="162"/>
      <c r="DS36" s="160"/>
      <c r="DT36" s="160"/>
      <c r="DU36" s="160"/>
      <c r="DV36" s="160"/>
      <c r="DW36" s="160"/>
      <c r="DX36" s="160"/>
      <c r="DY36" s="160"/>
      <c r="DZ36" s="162"/>
      <c r="EA36" s="162"/>
      <c r="EB36" s="162"/>
      <c r="EC36" s="162"/>
      <c r="ED36" s="162"/>
      <c r="EE36" s="162"/>
      <c r="EF36" s="162"/>
      <c r="EG36" s="160"/>
      <c r="EH36" s="160"/>
      <c r="EI36" s="160"/>
      <c r="EJ36" s="160"/>
      <c r="EK36" s="160"/>
      <c r="EL36" s="165"/>
      <c r="EM36" s="166"/>
      <c r="EN36" s="162"/>
      <c r="EO36" s="162"/>
      <c r="EP36" s="162"/>
      <c r="EQ36" s="162"/>
      <c r="ER36" s="162"/>
      <c r="ES36" s="162"/>
      <c r="ET36" s="162"/>
      <c r="EU36" s="160"/>
      <c r="EV36" s="160"/>
      <c r="EW36" s="160"/>
      <c r="EX36" s="160"/>
      <c r="EY36" s="160"/>
      <c r="EZ36" s="160"/>
      <c r="FA36" s="160"/>
      <c r="FB36" s="162"/>
      <c r="FC36" s="162"/>
      <c r="FD36" s="162"/>
      <c r="FE36" s="162"/>
      <c r="FF36" s="162"/>
      <c r="FG36" s="162"/>
      <c r="FH36" s="162"/>
      <c r="FI36" s="160"/>
      <c r="FJ36" s="160"/>
      <c r="FK36" s="160"/>
      <c r="FL36" s="160"/>
      <c r="FM36" s="160"/>
      <c r="FN36" s="160"/>
      <c r="FO36" s="160"/>
      <c r="FP36" s="162"/>
      <c r="FQ36" s="163"/>
      <c r="FR36" s="164"/>
      <c r="FS36" s="162"/>
      <c r="FT36" s="162"/>
      <c r="FU36" s="162"/>
      <c r="FV36" s="162"/>
      <c r="FW36" s="160"/>
      <c r="FX36" s="160"/>
      <c r="FY36" s="160"/>
      <c r="FZ36" s="160"/>
      <c r="GA36" s="160"/>
      <c r="GB36" s="160"/>
      <c r="GC36" s="160"/>
      <c r="GD36" s="162"/>
      <c r="GE36" s="162"/>
      <c r="GF36" s="162"/>
      <c r="GG36" s="162"/>
      <c r="GH36" s="162"/>
      <c r="GI36" s="162"/>
      <c r="GJ36" s="162"/>
      <c r="GK36" s="160"/>
      <c r="GL36" s="160"/>
      <c r="GM36" s="160"/>
      <c r="GN36" s="160"/>
      <c r="GO36" s="160"/>
      <c r="GP36" s="160"/>
      <c r="GQ36" s="160"/>
      <c r="GR36" s="162"/>
      <c r="GS36" s="162"/>
      <c r="GT36" s="162"/>
      <c r="GU36" s="163"/>
      <c r="GV36" s="164"/>
      <c r="GW36" s="162"/>
      <c r="GX36" s="162"/>
      <c r="GY36" s="160"/>
      <c r="GZ36" s="160"/>
      <c r="HA36" s="160"/>
      <c r="HB36" s="160"/>
      <c r="HC36" s="160"/>
      <c r="HD36" s="160"/>
      <c r="HE36" s="160"/>
      <c r="HF36" s="162"/>
      <c r="HG36" s="162"/>
      <c r="HH36" s="162"/>
      <c r="HI36" s="162"/>
      <c r="HJ36" s="162"/>
      <c r="HK36" s="162"/>
      <c r="HL36" s="162"/>
      <c r="HM36" s="160"/>
      <c r="HN36" s="160"/>
      <c r="HO36" s="160"/>
      <c r="HP36" s="160"/>
      <c r="HQ36" s="160"/>
      <c r="HR36" s="160"/>
      <c r="HS36" s="160"/>
      <c r="HT36" s="162"/>
      <c r="HU36" s="162"/>
      <c r="HV36" s="162"/>
      <c r="HW36" s="162"/>
      <c r="HX36" s="162"/>
      <c r="HY36" s="162"/>
      <c r="HZ36" s="163"/>
      <c r="IA36" s="166"/>
      <c r="IB36" s="160"/>
      <c r="IC36" s="160"/>
      <c r="ID36" s="160"/>
      <c r="IE36" s="160"/>
      <c r="IF36" s="160"/>
      <c r="IG36" s="160"/>
      <c r="IH36" s="162"/>
      <c r="II36" s="162"/>
      <c r="IJ36" s="162"/>
      <c r="IK36" s="162"/>
      <c r="IL36" s="162"/>
      <c r="IM36" s="162"/>
      <c r="IN36" s="162"/>
      <c r="IO36" s="160"/>
      <c r="IP36" s="160"/>
      <c r="IQ36" s="160"/>
      <c r="IR36" s="160"/>
      <c r="IS36" s="160"/>
      <c r="IT36" s="160"/>
      <c r="IU36" s="160"/>
      <c r="IV36" s="162"/>
      <c r="IW36" s="162"/>
      <c r="IX36" s="162"/>
      <c r="IY36" s="162"/>
      <c r="IZ36" s="162"/>
      <c r="JA36" s="162"/>
      <c r="JB36" s="162"/>
      <c r="JC36" s="160"/>
      <c r="JD36" s="165"/>
      <c r="JE36" s="166"/>
      <c r="JF36" s="160"/>
      <c r="JG36" s="160"/>
      <c r="JH36" s="160"/>
      <c r="JI36" s="160"/>
      <c r="JJ36" s="162"/>
      <c r="JK36" s="162"/>
      <c r="JL36" s="162"/>
      <c r="JM36" s="162"/>
      <c r="JN36" s="162"/>
      <c r="JO36" s="162"/>
      <c r="JP36" s="162"/>
      <c r="JQ36" s="160"/>
      <c r="JR36" s="160"/>
      <c r="JS36" s="160"/>
      <c r="JT36" s="160"/>
      <c r="JU36" s="160"/>
      <c r="JV36" s="160"/>
      <c r="JW36" s="160"/>
      <c r="JX36" s="162"/>
      <c r="JY36" s="162"/>
      <c r="JZ36" s="162"/>
      <c r="KA36" s="162"/>
      <c r="KB36" s="162"/>
      <c r="KC36" s="162"/>
      <c r="KD36" s="162"/>
      <c r="KE36" s="160"/>
      <c r="KF36" s="160"/>
      <c r="KG36" s="160"/>
      <c r="KH36" s="160"/>
      <c r="KI36" s="165"/>
      <c r="KJ36" s="166"/>
      <c r="KK36" s="160"/>
      <c r="KL36" s="162"/>
      <c r="KM36" s="162"/>
      <c r="KN36" s="162"/>
      <c r="KO36" s="162"/>
      <c r="KP36" s="162"/>
      <c r="KQ36" s="162"/>
      <c r="KR36" s="162"/>
      <c r="KS36" s="160"/>
      <c r="KT36" s="160"/>
      <c r="KU36" s="160"/>
      <c r="KV36" s="160"/>
      <c r="KW36" s="160"/>
      <c r="KX36" s="160"/>
      <c r="KY36" s="160"/>
      <c r="KZ36" s="162"/>
      <c r="LA36" s="162"/>
      <c r="LB36" s="162"/>
      <c r="LC36" s="162"/>
      <c r="LD36" s="162"/>
      <c r="LE36" s="162"/>
      <c r="LF36" s="162"/>
      <c r="LG36" s="160"/>
      <c r="LH36" s="160"/>
      <c r="LI36" s="160"/>
      <c r="LJ36" s="160"/>
      <c r="LK36" s="160"/>
      <c r="LL36" s="160"/>
      <c r="LM36" s="165"/>
    </row>
    <row r="37" spans="1:325" ht="16.5"/>
    <row r="38" spans="1:325" ht="16.5"/>
    <row r="39" spans="1:325" ht="16.5"/>
    <row r="40" spans="1:325" ht="16.5"/>
    <row r="41" spans="1:325" ht="16.5"/>
    <row r="42" spans="1:325" ht="16.5"/>
    <row r="43" spans="1:325" ht="16.5"/>
    <row r="44" spans="1:325" ht="16.5"/>
    <row r="45" spans="1:325" ht="16.5"/>
    <row r="46" spans="1:325" ht="16.5"/>
    <row r="47" spans="1:325" ht="16.5"/>
    <row r="48" spans="1:325" ht="16.5"/>
    <row r="49" ht="16.5"/>
    <row r="50" ht="16.5"/>
    <row r="51" ht="16.5"/>
    <row r="52" ht="16.5"/>
    <row r="53" ht="16.5"/>
    <row r="54" ht="16.5"/>
    <row r="55" ht="16.5"/>
    <row r="56" ht="16.5"/>
    <row r="57" ht="16.5"/>
    <row r="58" ht="16.5"/>
    <row r="59" ht="16.5"/>
    <row r="60" ht="16.5"/>
    <row r="61" ht="16.5"/>
    <row r="62" ht="16.5"/>
    <row r="63" ht="16.5"/>
    <row r="64" ht="16.5"/>
    <row r="65" ht="16.5"/>
    <row r="66" ht="16.5"/>
    <row r="67" ht="16.5"/>
    <row r="68" ht="16.5"/>
    <row r="69" ht="16.5"/>
    <row r="70" ht="16.5"/>
    <row r="71" ht="16.5"/>
    <row r="72" ht="16.5"/>
    <row r="73" ht="16.5"/>
    <row r="74" ht="16.5"/>
    <row r="75" ht="16.5"/>
    <row r="76" ht="16.5"/>
    <row r="77" ht="16.5"/>
    <row r="78" ht="16.5"/>
    <row r="79" ht="16.5"/>
    <row r="80" ht="16.5"/>
    <row r="81" ht="16.5"/>
    <row r="82" ht="16.5"/>
    <row r="83" ht="16.5"/>
    <row r="84" ht="16.5"/>
    <row r="85" ht="16.5"/>
    <row r="86" ht="16.5"/>
    <row r="87" ht="16.5"/>
    <row r="88" ht="16.5"/>
    <row r="89" ht="16.5"/>
    <row r="90" ht="16.5"/>
    <row r="91" ht="16.5"/>
    <row r="92" ht="16.5"/>
    <row r="93" ht="16.5"/>
    <row r="94" ht="16.5"/>
    <row r="95" ht="16.5"/>
    <row r="96" ht="16.5"/>
    <row r="97" ht="16.5"/>
    <row r="98" ht="16.5"/>
    <row r="99" ht="16.5"/>
    <row r="100" ht="16.5"/>
    <row r="101" ht="16.5"/>
    <row r="102" ht="16.5"/>
    <row r="103" ht="16.5"/>
    <row r="104" ht="16.5"/>
    <row r="105" ht="16.5"/>
    <row r="106" ht="16.5"/>
    <row r="107" ht="16.5"/>
    <row r="108" ht="16.5"/>
    <row r="109" ht="16.5"/>
    <row r="110" ht="16.5"/>
    <row r="111" ht="16.5"/>
    <row r="112" ht="16.5"/>
    <row r="113" ht="16.5"/>
    <row r="114" ht="16.5"/>
    <row r="115" ht="16.5"/>
    <row r="116" ht="16.5"/>
    <row r="117" ht="16.5"/>
    <row r="118" ht="16.5"/>
    <row r="119" ht="16.5"/>
    <row r="120" ht="16.5"/>
    <row r="121" ht="16.5"/>
    <row r="122" ht="16.5"/>
    <row r="123" ht="16.5"/>
    <row r="124" ht="16.5"/>
    <row r="125" ht="16.5"/>
    <row r="126" ht="16.5"/>
    <row r="127" ht="16.5"/>
    <row r="128" ht="16.5"/>
    <row r="129" ht="16.5"/>
    <row r="130" ht="16.5"/>
    <row r="131" ht="16.5"/>
    <row r="132" ht="16.5"/>
    <row r="133" ht="16.5"/>
    <row r="134" ht="16.5"/>
    <row r="135" ht="16.5"/>
    <row r="136" ht="16.5"/>
    <row r="137" ht="16.5"/>
    <row r="138" ht="16.5"/>
    <row r="139" ht="16.5"/>
    <row r="140" ht="16.5"/>
    <row r="141" ht="16.5"/>
    <row r="142" ht="16.5"/>
    <row r="143" ht="16.5"/>
    <row r="144" ht="16.5"/>
    <row r="145" ht="16.5"/>
    <row r="146" ht="16.5"/>
    <row r="147" ht="16.5"/>
    <row r="148" ht="16.5"/>
    <row r="149" ht="16.5"/>
    <row r="150" ht="21.6" customHeight="1"/>
  </sheetData>
  <autoFilter ref="B7:R7"/>
  <dataConsolidate/>
  <mergeCells count="2">
    <mergeCell ref="L6:N6"/>
    <mergeCell ref="O6:Q6"/>
  </mergeCells>
  <phoneticPr fontId="6" type="noConversion"/>
  <conditionalFormatting sqref="R8:R36">
    <cfRule type="containsText" dxfId="2" priority="3" operator="containsText" text="진행">
      <formula>NOT(ISERROR(SEARCH("진행",R8)))</formula>
    </cfRule>
    <cfRule type="containsText" dxfId="1" priority="2" operator="containsText" text="지연">
      <formula>NOT(ISERROR(SEARCH("지연",R8)))</formula>
    </cfRule>
    <cfRule type="containsText" dxfId="0" priority="1" operator="containsText" text="완료">
      <formula>NOT(ISERROR(SEARCH("완료",R8)))</formula>
    </cfRule>
  </conditionalFormatting>
  <dataValidations count="6">
    <dataValidation type="list" allowBlank="1" showInputMessage="1" showErrorMessage="1" sqref="H8:H36">
      <formula1>"On Track, Low Risk, Med Risk, High Risk,unassigned"</formula1>
    </dataValidation>
    <dataValidation type="list" allowBlank="1" showErrorMessage="1" prompt="중요시점(Mild Stone 표시)" sqref="J8:J36">
      <formula1>"Both, Start, End"</formula1>
    </dataValidation>
    <dataValidation type="date" errorStyle="warning" operator="lessThanOrEqual" allowBlank="1" showErrorMessage="1" error="실행일이 오늘날짜보다 미래임" prompt="오늘 날짜보다 미래의 날짜를 입력할 수 없음" sqref="O8:O36">
      <formula1>TODAY()</formula1>
    </dataValidation>
    <dataValidation type="custom" errorStyle="information" allowBlank="1" showErrorMessage="1" error="동일한 WBS를 입력할 수 없음_x000a_숫자를 입력할 수 없음_x000a_  --&gt; 숫자 앞에 문자  ' 추가" prompt="동일한 WBS를 입력할 수 없음_x000a_숫자를 입력할 수 없음_x000a_  --&gt; 숫자 앞에 문자  ' 추가" sqref="B8:B36">
      <formula1>AND(COUNTIF(WBS_DataRange,$B8)=1, NOT(ISNUMBER($B8)))</formula1>
    </dataValidation>
    <dataValidation type="custom" errorStyle="information" allowBlank="1" error="WBS에 존재하는 No만 입력가능" prompt="WBS에 존재하는 No만 입력가능" sqref="G8:G36">
      <formula1>NOT(ISERROR(VLOOKUP($G8,WBS_DataRange,1,0)))</formula1>
    </dataValidation>
    <dataValidation type="date" errorStyle="warning" operator="lessThanOrEqual" allowBlank="1" showErrorMessage="1" error="오늘 날짜보다 실행일이 미래임" prompt="오늘 날짜보다 미래의 날짜를 입력할 수 없음" sqref="P8:P36">
      <formula1>TODAY()</formula1>
    </dataValidation>
  </dataValidations>
  <printOptions horizontalCentered="1"/>
  <pageMargins left="0.25" right="0.25" top="0.5" bottom="0.5" header="0.3" footer="0.3"/>
  <pageSetup scale="11" fitToHeight="0" orientation="landscape" r:id="rId1"/>
  <headerFooter differentFirst="1" scaleWithDoc="0">
    <oddFooter>Page &amp;P of &amp;N</oddFooter>
  </headerFooter>
  <ignoredErrors>
    <ignoredError sqref="D24 D8 D11 H8:H10 H12:H24 K8:K24 D9 D16 D13 D12 D23 D19 D18 D17 D14 D10 D15 D20 D21 D22" numberStoredAsText="1"/>
  </ignoredErrors>
  <drawing r:id="rId2"/>
  <legacyDrawing r:id="rId3"/>
  <controls>
    <mc:AlternateContent xmlns:mc="http://schemas.openxmlformats.org/markup-compatibility/2006">
      <mc:Choice Requires="x14">
        <control shapeId="6244" r:id="rId4" name="CommandButton1">
          <controlPr defaultSize="0" print="0" autoLine="0" r:id="rId5">
            <anchor moveWithCells="1">
              <from>
                <xdr:col>8</xdr:col>
                <xdr:colOff>57150</xdr:colOff>
                <xdr:row>3</xdr:row>
                <xdr:rowOff>342900</xdr:rowOff>
              </from>
              <to>
                <xdr:col>9</xdr:col>
                <xdr:colOff>200025</xdr:colOff>
                <xdr:row>4</xdr:row>
                <xdr:rowOff>257175</xdr:rowOff>
              </to>
            </anchor>
          </controlPr>
        </control>
      </mc:Choice>
      <mc:Fallback>
        <control shapeId="6244" r:id="rId4" name="CommandButton1"/>
      </mc:Fallback>
    </mc:AlternateContent>
    <mc:AlternateContent xmlns:mc="http://schemas.openxmlformats.org/markup-compatibility/2006">
      <mc:Choice Requires="x14">
        <control shapeId="6238" r:id="rId6" name="Button 94">
          <controlPr defaultSize="0" print="0" autoFill="0" autoPict="0" macro="[0]!LoadDeleteForm">
            <anchor moveWithCells="1" sizeWithCells="1">
              <from>
                <xdr:col>10</xdr:col>
                <xdr:colOff>323850</xdr:colOff>
                <xdr:row>3</xdr:row>
                <xdr:rowOff>352425</xdr:rowOff>
              </from>
              <to>
                <xdr:col>12</xdr:col>
                <xdr:colOff>19050</xdr:colOff>
                <xdr:row>4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7" name="Button 95">
          <controlPr defaultSize="0" print="0" autoFill="0" autoPict="0" macro="[0]!Draw_Gantt">
            <anchor moveWithCells="1" sizeWithCells="1">
              <from>
                <xdr:col>12</xdr:col>
                <xdr:colOff>76200</xdr:colOff>
                <xdr:row>3</xdr:row>
                <xdr:rowOff>352425</xdr:rowOff>
              </from>
              <to>
                <xdr:col>13</xdr:col>
                <xdr:colOff>238125</xdr:colOff>
                <xdr:row>4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8" name="Button 96">
          <controlPr defaultSize="0" print="0" autoFill="0" autoPict="0" macro="[0]!LoadOptionForm">
            <anchor moveWithCells="1" sizeWithCells="1">
              <from>
                <xdr:col>9</xdr:col>
                <xdr:colOff>257175</xdr:colOff>
                <xdr:row>3</xdr:row>
                <xdr:rowOff>352425</xdr:rowOff>
              </from>
              <to>
                <xdr:col>10</xdr:col>
                <xdr:colOff>238125</xdr:colOff>
                <xdr:row>4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9" name="Check Box 99">
          <controlPr defaultSize="0" print="0" autoFill="0" autoLine="0" autoPict="0">
            <anchor moveWithCells="1" sizeWithCells="1">
              <from>
                <xdr:col>11</xdr:col>
                <xdr:colOff>238125</xdr:colOff>
                <xdr:row>3</xdr:row>
                <xdr:rowOff>19050</xdr:rowOff>
              </from>
              <to>
                <xdr:col>13</xdr:col>
                <xdr:colOff>238125</xdr:colOff>
                <xdr:row>3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E43"/>
  <sheetViews>
    <sheetView showGridLines="0" topLeftCell="H1" zoomScale="85" zoomScaleNormal="85" workbookViewId="0">
      <selection activeCell="M21" sqref="M21"/>
    </sheetView>
  </sheetViews>
  <sheetFormatPr defaultColWidth="8.75" defaultRowHeight="16.5"/>
  <cols>
    <col min="1" max="2" width="8.75" style="6"/>
    <col min="3" max="3" width="40.75" style="6" bestFit="1" customWidth="1"/>
    <col min="4" max="4" width="8.75" style="6"/>
    <col min="5" max="5" width="3.375" style="6" customWidth="1"/>
    <col min="6" max="6" width="8.75" style="6"/>
    <col min="7" max="7" width="14.375" style="6" customWidth="1"/>
    <col min="8" max="8" width="8.75" style="6"/>
    <col min="9" max="9" width="3.75" style="6" customWidth="1"/>
    <col min="10" max="12" width="8.75" style="6"/>
    <col min="13" max="13" width="14" style="6" bestFit="1" customWidth="1"/>
    <col min="14" max="14" width="8.5" style="6" customWidth="1"/>
    <col min="15" max="17" width="8.75" style="6"/>
    <col min="18" max="18" width="1.625" style="6" customWidth="1"/>
    <col min="19" max="22" width="8.75" style="6"/>
    <col min="23" max="23" width="18.25" style="6" bestFit="1" customWidth="1"/>
    <col min="24" max="25" width="8.75" style="6"/>
    <col min="26" max="26" width="25.625" style="6" bestFit="1" customWidth="1"/>
    <col min="27" max="28" width="8.75" style="6"/>
    <col min="29" max="29" width="12" style="6" customWidth="1"/>
    <col min="30" max="30" width="12" style="6" bestFit="1" customWidth="1"/>
    <col min="31" max="16384" width="8.75" style="6"/>
  </cols>
  <sheetData>
    <row r="3" spans="2:31">
      <c r="C3" s="9" t="s">
        <v>57</v>
      </c>
      <c r="D3" s="9"/>
      <c r="E3" s="9"/>
      <c r="F3" s="9" t="s">
        <v>56</v>
      </c>
      <c r="G3" s="9"/>
      <c r="H3" s="9"/>
      <c r="I3" s="9"/>
      <c r="J3" s="10" t="s">
        <v>22</v>
      </c>
      <c r="K3" s="11"/>
      <c r="L3" s="7"/>
      <c r="M3" s="10" t="s">
        <v>70</v>
      </c>
      <c r="P3" s="9" t="s">
        <v>91</v>
      </c>
      <c r="Q3" s="16" t="s">
        <v>90</v>
      </c>
      <c r="R3" s="16"/>
      <c r="S3" s="9" t="s">
        <v>91</v>
      </c>
      <c r="T3" s="16" t="s">
        <v>92</v>
      </c>
      <c r="V3" s="16" t="s">
        <v>161</v>
      </c>
      <c r="W3" s="16" t="s">
        <v>303</v>
      </c>
      <c r="X3" s="16" t="s">
        <v>304</v>
      </c>
      <c r="Z3" s="16" t="s">
        <v>313</v>
      </c>
      <c r="AB3" s="10" t="s">
        <v>138</v>
      </c>
      <c r="AC3" s="15"/>
      <c r="AD3" s="15"/>
      <c r="AE3" s="15"/>
    </row>
    <row r="4" spans="2:31">
      <c r="B4" s="15">
        <v>1</v>
      </c>
      <c r="C4" s="60" t="s">
        <v>58</v>
      </c>
      <c r="D4" s="61">
        <v>1</v>
      </c>
      <c r="E4" s="15"/>
      <c r="F4" s="1" t="s">
        <v>20</v>
      </c>
      <c r="G4" s="1"/>
      <c r="H4" s="62">
        <v>10</v>
      </c>
      <c r="I4" s="15"/>
      <c r="J4" s="63" t="s">
        <v>1</v>
      </c>
      <c r="K4" s="64">
        <v>70</v>
      </c>
      <c r="L4" s="65" t="s">
        <v>19</v>
      </c>
      <c r="M4" s="60" t="s">
        <v>71</v>
      </c>
      <c r="N4" s="61">
        <v>4</v>
      </c>
      <c r="O4" s="15">
        <v>1</v>
      </c>
      <c r="P4" s="18" t="s">
        <v>93</v>
      </c>
      <c r="Q4" s="17"/>
      <c r="R4" s="16"/>
      <c r="S4" s="18" t="s">
        <v>126</v>
      </c>
      <c r="T4" s="42"/>
      <c r="V4" s="6">
        <v>1</v>
      </c>
      <c r="W4" s="6" t="s">
        <v>293</v>
      </c>
      <c r="X4" s="122"/>
      <c r="Z4" t="s">
        <v>178</v>
      </c>
      <c r="AA4" s="5"/>
      <c r="AB4" s="80" t="s">
        <v>148</v>
      </c>
      <c r="AC4" s="80" t="s">
        <v>149</v>
      </c>
      <c r="AD4" s="80" t="s">
        <v>150</v>
      </c>
      <c r="AE4" s="81" t="s">
        <v>161</v>
      </c>
    </row>
    <row r="5" spans="2:31">
      <c r="B5" s="15">
        <v>2</v>
      </c>
      <c r="C5" s="60" t="s">
        <v>73</v>
      </c>
      <c r="D5" s="66" t="b">
        <v>1</v>
      </c>
      <c r="E5" s="15"/>
      <c r="F5" s="1" t="s">
        <v>28</v>
      </c>
      <c r="G5" s="1"/>
      <c r="H5" s="67">
        <v>15</v>
      </c>
      <c r="I5" s="15"/>
      <c r="J5" s="63" t="s">
        <v>18</v>
      </c>
      <c r="K5" s="64">
        <v>25</v>
      </c>
      <c r="L5" s="65" t="s">
        <v>19</v>
      </c>
      <c r="M5" s="15"/>
      <c r="N5" s="15"/>
      <c r="O5" s="15">
        <v>2</v>
      </c>
      <c r="P5" s="18" t="s">
        <v>95</v>
      </c>
      <c r="Q5" s="20"/>
      <c r="R5" s="16"/>
      <c r="S5" s="18" t="s">
        <v>96</v>
      </c>
      <c r="T5" s="21"/>
      <c r="V5" s="6">
        <v>2</v>
      </c>
      <c r="W5" s="6" t="s">
        <v>294</v>
      </c>
      <c r="X5" s="123"/>
      <c r="Z5" t="s">
        <v>179</v>
      </c>
      <c r="AA5" s="5"/>
      <c r="AB5" s="71" t="s">
        <v>139</v>
      </c>
      <c r="AC5" s="77" t="s">
        <v>146</v>
      </c>
      <c r="AD5" s="72" t="s">
        <v>141</v>
      </c>
      <c r="AE5" s="82">
        <v>1</v>
      </c>
    </row>
    <row r="6" spans="2:31">
      <c r="B6" s="15">
        <v>3</v>
      </c>
      <c r="C6" s="60" t="s">
        <v>74</v>
      </c>
      <c r="D6" s="68" t="b">
        <v>1</v>
      </c>
      <c r="E6" s="15"/>
      <c r="F6" s="1" t="s">
        <v>21</v>
      </c>
      <c r="G6" s="1"/>
      <c r="H6" s="62">
        <v>35</v>
      </c>
      <c r="I6" s="15"/>
      <c r="J6" s="15"/>
      <c r="K6" s="15"/>
      <c r="L6" s="15"/>
      <c r="M6" s="15"/>
      <c r="N6" s="15"/>
      <c r="O6" s="15">
        <v>3</v>
      </c>
      <c r="P6" s="18" t="s">
        <v>97</v>
      </c>
      <c r="Q6" s="22"/>
      <c r="R6" s="16"/>
      <c r="S6" s="18" t="s">
        <v>128</v>
      </c>
      <c r="T6" s="43"/>
      <c r="V6" s="6">
        <v>3</v>
      </c>
      <c r="W6" s="6" t="s">
        <v>295</v>
      </c>
      <c r="X6" s="128"/>
      <c r="Z6" t="s">
        <v>180</v>
      </c>
      <c r="AA6" s="5"/>
      <c r="AB6" s="73"/>
      <c r="AC6" s="78" t="s">
        <v>147</v>
      </c>
      <c r="AD6" s="74" t="s">
        <v>152</v>
      </c>
      <c r="AE6" s="83">
        <v>2</v>
      </c>
    </row>
    <row r="7" spans="2:31">
      <c r="B7" s="15">
        <v>4</v>
      </c>
      <c r="C7" s="60" t="s">
        <v>75</v>
      </c>
      <c r="D7" s="68" t="b">
        <v>0</v>
      </c>
      <c r="E7" s="15"/>
      <c r="F7" s="1" t="s">
        <v>25</v>
      </c>
      <c r="G7" s="1"/>
      <c r="H7" s="62">
        <v>150</v>
      </c>
      <c r="I7" s="15"/>
      <c r="J7" s="15"/>
      <c r="K7" s="15"/>
      <c r="L7" s="15"/>
      <c r="M7" s="15"/>
      <c r="N7" s="15"/>
      <c r="O7" s="15">
        <v>4</v>
      </c>
      <c r="P7" s="18" t="s">
        <v>98</v>
      </c>
      <c r="Q7" s="23"/>
      <c r="R7" s="16"/>
      <c r="S7" s="18" t="s">
        <v>94</v>
      </c>
      <c r="T7" s="19"/>
      <c r="V7" s="6">
        <v>4</v>
      </c>
      <c r="W7" s="6" t="s">
        <v>296</v>
      </c>
      <c r="X7" s="124"/>
      <c r="Z7" t="s">
        <v>181</v>
      </c>
      <c r="AA7" s="5"/>
      <c r="AB7" s="73"/>
      <c r="AC7" s="78" t="s">
        <v>140</v>
      </c>
      <c r="AD7" s="74" t="s">
        <v>142</v>
      </c>
      <c r="AE7" s="83">
        <v>3</v>
      </c>
    </row>
    <row r="8" spans="2:31">
      <c r="B8" s="15">
        <v>5</v>
      </c>
      <c r="C8" s="60" t="s">
        <v>76</v>
      </c>
      <c r="D8" s="68" t="b">
        <v>1</v>
      </c>
      <c r="E8" s="15"/>
      <c r="F8" s="1" t="s">
        <v>24</v>
      </c>
      <c r="G8" s="1"/>
      <c r="H8" s="62">
        <v>25</v>
      </c>
      <c r="I8" s="15"/>
      <c r="J8" s="15"/>
      <c r="K8" s="15"/>
      <c r="L8" s="15"/>
      <c r="M8" s="15"/>
      <c r="N8" s="15"/>
      <c r="O8" s="15">
        <v>5</v>
      </c>
      <c r="P8" s="18" t="s">
        <v>100</v>
      </c>
      <c r="Q8" s="25"/>
      <c r="R8" s="16"/>
      <c r="S8" s="18" t="s">
        <v>130</v>
      </c>
      <c r="T8" s="39"/>
      <c r="V8" s="6">
        <v>5</v>
      </c>
      <c r="W8" s="6" t="s">
        <v>297</v>
      </c>
      <c r="X8" s="125" t="s">
        <v>305</v>
      </c>
      <c r="Z8" t="s">
        <v>182</v>
      </c>
      <c r="AA8" s="5"/>
      <c r="AB8" s="73"/>
      <c r="AC8" s="78" t="s">
        <v>143</v>
      </c>
      <c r="AD8" s="74" t="s">
        <v>144</v>
      </c>
      <c r="AE8" s="83">
        <v>4</v>
      </c>
    </row>
    <row r="9" spans="2:31">
      <c r="B9" s="15">
        <v>6</v>
      </c>
      <c r="C9" s="60" t="s">
        <v>77</v>
      </c>
      <c r="D9" s="68" t="b">
        <v>1</v>
      </c>
      <c r="E9" s="15"/>
      <c r="F9" s="1" t="s">
        <v>36</v>
      </c>
      <c r="G9" s="1"/>
      <c r="H9" s="62" t="s">
        <v>37</v>
      </c>
      <c r="I9" s="15"/>
      <c r="J9" s="15"/>
      <c r="K9" s="15"/>
      <c r="L9" s="15"/>
      <c r="M9" s="15"/>
      <c r="N9" s="15"/>
      <c r="O9" s="15">
        <v>6</v>
      </c>
      <c r="P9" s="18" t="s">
        <v>122</v>
      </c>
      <c r="Q9" s="51"/>
      <c r="R9" s="16"/>
      <c r="S9" s="18" t="s">
        <v>99</v>
      </c>
      <c r="T9" s="24"/>
      <c r="V9" s="6">
        <v>6</v>
      </c>
      <c r="W9" s="6" t="s">
        <v>67</v>
      </c>
      <c r="X9" s="126"/>
      <c r="Z9" t="s">
        <v>183</v>
      </c>
      <c r="AA9" s="5"/>
      <c r="AB9" s="75"/>
      <c r="AC9" s="79" t="s">
        <v>73</v>
      </c>
      <c r="AD9" s="76" t="s">
        <v>153</v>
      </c>
      <c r="AE9" s="84">
        <v>5</v>
      </c>
    </row>
    <row r="10" spans="2:31">
      <c r="B10" s="15">
        <v>7</v>
      </c>
      <c r="C10" s="60" t="s">
        <v>78</v>
      </c>
      <c r="D10" s="68" t="b">
        <v>0</v>
      </c>
      <c r="E10" s="15"/>
      <c r="F10" s="1" t="s">
        <v>38</v>
      </c>
      <c r="G10" s="1"/>
      <c r="H10" s="62" t="s">
        <v>37</v>
      </c>
      <c r="I10" s="15"/>
      <c r="J10" s="15"/>
      <c r="K10" s="15"/>
      <c r="L10" s="15"/>
      <c r="O10" s="15">
        <v>7</v>
      </c>
      <c r="P10" s="18" t="s">
        <v>102</v>
      </c>
      <c r="Q10" s="26"/>
      <c r="R10" s="16"/>
      <c r="S10" s="18" t="s">
        <v>107</v>
      </c>
      <c r="T10" s="29"/>
      <c r="V10" s="6">
        <v>7</v>
      </c>
      <c r="W10" s="6" t="s">
        <v>298</v>
      </c>
      <c r="X10" s="9" t="s">
        <v>306</v>
      </c>
      <c r="Z10" t="s">
        <v>184</v>
      </c>
      <c r="AA10" s="5"/>
      <c r="AB10" s="77" t="s">
        <v>145</v>
      </c>
      <c r="AC10" s="77" t="s">
        <v>155</v>
      </c>
      <c r="AD10" s="72" t="s">
        <v>151</v>
      </c>
      <c r="AE10" s="82">
        <v>6</v>
      </c>
    </row>
    <row r="11" spans="2:31">
      <c r="B11" s="15">
        <v>8</v>
      </c>
      <c r="C11" s="60" t="s">
        <v>79</v>
      </c>
      <c r="D11" s="68" t="b">
        <v>1</v>
      </c>
      <c r="E11" s="15"/>
      <c r="F11" s="15"/>
      <c r="G11" s="15"/>
      <c r="H11" s="15"/>
      <c r="I11" s="15"/>
      <c r="J11" s="15"/>
      <c r="K11" s="15"/>
      <c r="L11" s="15"/>
      <c r="O11" s="15">
        <v>8</v>
      </c>
      <c r="P11" s="18" t="s">
        <v>120</v>
      </c>
      <c r="Q11" s="59"/>
      <c r="R11" s="16"/>
      <c r="S11" s="18" t="s">
        <v>109</v>
      </c>
      <c r="T11" s="44"/>
      <c r="V11" s="6">
        <v>8</v>
      </c>
      <c r="W11" s="40" t="s">
        <v>307</v>
      </c>
      <c r="X11" s="127"/>
      <c r="Z11" t="s">
        <v>185</v>
      </c>
      <c r="AA11" s="5"/>
      <c r="AB11" s="78"/>
      <c r="AC11" s="78" t="s">
        <v>156</v>
      </c>
      <c r="AD11" s="74" t="s">
        <v>157</v>
      </c>
      <c r="AE11" s="83">
        <v>7</v>
      </c>
    </row>
    <row r="12" spans="2:31">
      <c r="B12" s="15">
        <v>9</v>
      </c>
      <c r="C12" s="60" t="s">
        <v>81</v>
      </c>
      <c r="D12" s="68" t="b">
        <v>1</v>
      </c>
      <c r="E12" s="15"/>
      <c r="F12" s="15"/>
      <c r="G12" s="15"/>
      <c r="H12" s="15"/>
      <c r="I12" s="15"/>
      <c r="J12" s="15"/>
      <c r="K12" s="15"/>
      <c r="L12" s="15"/>
      <c r="O12" s="15">
        <v>9</v>
      </c>
      <c r="P12" s="18" t="s">
        <v>104</v>
      </c>
      <c r="Q12" s="52"/>
      <c r="R12" s="16"/>
      <c r="S12" s="18" t="s">
        <v>111</v>
      </c>
      <c r="T12" s="45"/>
      <c r="V12" s="6">
        <v>9</v>
      </c>
      <c r="W12" s="40" t="s">
        <v>308</v>
      </c>
      <c r="X12" s="124"/>
      <c r="Z12" t="s">
        <v>186</v>
      </c>
      <c r="AA12" s="5"/>
      <c r="AB12" s="78"/>
      <c r="AC12" s="78" t="s">
        <v>158</v>
      </c>
      <c r="AD12" s="74" t="s">
        <v>159</v>
      </c>
      <c r="AE12" s="83">
        <v>8</v>
      </c>
    </row>
    <row r="13" spans="2:31">
      <c r="B13" s="15">
        <v>10</v>
      </c>
      <c r="C13" s="60" t="s">
        <v>80</v>
      </c>
      <c r="D13" s="68" t="b">
        <v>1</v>
      </c>
      <c r="E13" s="15"/>
      <c r="F13" s="15"/>
      <c r="G13" s="15"/>
      <c r="H13" s="15"/>
      <c r="I13" s="15"/>
      <c r="J13" s="15"/>
      <c r="K13" s="15"/>
      <c r="L13" s="15"/>
      <c r="O13" s="15">
        <v>10</v>
      </c>
      <c r="P13" s="18" t="s">
        <v>106</v>
      </c>
      <c r="Q13" s="28"/>
      <c r="R13" s="16"/>
      <c r="S13" s="18" t="s">
        <v>113</v>
      </c>
      <c r="T13" s="31"/>
      <c r="V13" s="6">
        <v>10</v>
      </c>
      <c r="W13" s="6" t="s">
        <v>299</v>
      </c>
      <c r="X13" s="129" t="s">
        <v>309</v>
      </c>
      <c r="Z13" t="s">
        <v>187</v>
      </c>
      <c r="AA13" s="5"/>
      <c r="AB13" s="79"/>
      <c r="AC13" s="79" t="s">
        <v>160</v>
      </c>
      <c r="AD13" s="76" t="s">
        <v>154</v>
      </c>
      <c r="AE13" s="84">
        <v>9</v>
      </c>
    </row>
    <row r="14" spans="2:31">
      <c r="B14" s="15">
        <v>11</v>
      </c>
      <c r="C14" s="60" t="s">
        <v>82</v>
      </c>
      <c r="D14" s="68" t="b">
        <v>1</v>
      </c>
      <c r="E14" s="15"/>
      <c r="F14" s="69" t="s">
        <v>87</v>
      </c>
      <c r="G14" s="15"/>
      <c r="H14" s="15"/>
      <c r="I14" s="15"/>
      <c r="J14" s="15"/>
      <c r="K14" s="15"/>
      <c r="L14" s="15"/>
      <c r="O14" s="15">
        <v>11</v>
      </c>
      <c r="P14" s="18" t="s">
        <v>125</v>
      </c>
      <c r="Q14" s="53"/>
      <c r="R14" s="16"/>
      <c r="S14" s="18" t="s">
        <v>115</v>
      </c>
      <c r="T14" s="33"/>
      <c r="V14" s="6">
        <v>11</v>
      </c>
      <c r="W14" s="6" t="s">
        <v>300</v>
      </c>
      <c r="X14" s="130" t="s">
        <v>310</v>
      </c>
      <c r="Z14" t="s">
        <v>188</v>
      </c>
      <c r="AA14" s="5"/>
    </row>
    <row r="15" spans="2:31">
      <c r="B15" s="15">
        <v>12</v>
      </c>
      <c r="C15" s="60" t="s">
        <v>84</v>
      </c>
      <c r="D15" s="68" t="b">
        <v>0</v>
      </c>
      <c r="E15" s="15"/>
      <c r="F15" s="2" t="s">
        <v>88</v>
      </c>
      <c r="G15" s="2"/>
      <c r="H15" s="70" t="b">
        <v>1</v>
      </c>
      <c r="I15" s="15"/>
      <c r="J15" s="15"/>
      <c r="K15" s="15"/>
      <c r="L15" s="15"/>
      <c r="O15" s="15">
        <v>12</v>
      </c>
      <c r="P15" s="18" t="s">
        <v>108</v>
      </c>
      <c r="Q15" s="54"/>
      <c r="R15" s="16"/>
      <c r="S15" s="18" t="s">
        <v>117</v>
      </c>
      <c r="T15" s="34"/>
      <c r="V15" s="6">
        <v>12</v>
      </c>
      <c r="W15" s="6" t="s">
        <v>301</v>
      </c>
      <c r="X15" s="197" t="s">
        <v>311</v>
      </c>
      <c r="Z15" t="s">
        <v>189</v>
      </c>
      <c r="AA15" s="5"/>
    </row>
    <row r="16" spans="2:31">
      <c r="B16" s="15">
        <v>13</v>
      </c>
      <c r="C16" s="60" t="s">
        <v>85</v>
      </c>
      <c r="D16" s="68" t="b">
        <v>1</v>
      </c>
      <c r="E16" s="15"/>
      <c r="F16" s="2" t="s">
        <v>89</v>
      </c>
      <c r="G16" s="2"/>
      <c r="H16" s="70" t="b">
        <v>1</v>
      </c>
      <c r="I16" s="15"/>
      <c r="J16" s="15"/>
      <c r="K16" s="15"/>
      <c r="L16" s="15"/>
      <c r="O16" s="15">
        <v>13</v>
      </c>
      <c r="P16" s="18" t="s">
        <v>114</v>
      </c>
      <c r="Q16" s="32"/>
      <c r="R16" s="16"/>
      <c r="S16" s="18" t="s">
        <v>119</v>
      </c>
      <c r="T16" s="35"/>
      <c r="V16" s="6">
        <v>13</v>
      </c>
      <c r="W16" s="6" t="s">
        <v>302</v>
      </c>
      <c r="X16" s="131" t="s">
        <v>312</v>
      </c>
      <c r="Z16" t="s">
        <v>190</v>
      </c>
      <c r="AA16" s="5"/>
    </row>
    <row r="17" spans="2:27">
      <c r="B17" s="15">
        <v>14</v>
      </c>
      <c r="C17" s="60" t="s">
        <v>86</v>
      </c>
      <c r="D17" s="68" t="b">
        <v>1</v>
      </c>
      <c r="E17" s="15"/>
      <c r="F17" s="15"/>
      <c r="G17" s="15"/>
      <c r="H17" s="15"/>
      <c r="I17" s="15"/>
      <c r="J17" s="15"/>
      <c r="K17" s="15"/>
      <c r="L17" s="15"/>
      <c r="O17" s="15">
        <v>14</v>
      </c>
      <c r="P17" s="18" t="s">
        <v>110</v>
      </c>
      <c r="Q17" s="30"/>
      <c r="R17" s="16"/>
      <c r="S17" s="18" t="s">
        <v>121</v>
      </c>
      <c r="T17" s="46"/>
      <c r="Z17" t="s">
        <v>191</v>
      </c>
      <c r="AA17" s="5"/>
    </row>
    <row r="18" spans="2:27">
      <c r="B18" s="15">
        <v>15</v>
      </c>
      <c r="C18" s="60" t="s">
        <v>132</v>
      </c>
      <c r="D18" s="66">
        <v>1</v>
      </c>
      <c r="E18" s="15"/>
      <c r="F18" s="15"/>
      <c r="G18" s="15"/>
      <c r="H18" s="15"/>
      <c r="I18" s="15"/>
      <c r="J18" s="15"/>
      <c r="K18" s="15"/>
      <c r="L18" s="15"/>
      <c r="O18" s="15">
        <v>15</v>
      </c>
      <c r="P18" s="18" t="s">
        <v>127</v>
      </c>
      <c r="Q18" s="38"/>
      <c r="R18" s="16"/>
      <c r="S18" s="18" t="s">
        <v>123</v>
      </c>
      <c r="T18" s="36"/>
      <c r="Z18" t="s">
        <v>192</v>
      </c>
      <c r="AA18" s="5"/>
    </row>
    <row r="19" spans="2:27">
      <c r="B19" s="15">
        <v>16</v>
      </c>
      <c r="C19" s="60" t="s">
        <v>134</v>
      </c>
      <c r="D19" s="68">
        <v>1</v>
      </c>
      <c r="E19" s="15"/>
      <c r="F19" s="15"/>
      <c r="G19" s="15"/>
      <c r="H19" s="15"/>
      <c r="I19" s="15"/>
      <c r="J19" s="15"/>
      <c r="K19" s="15"/>
      <c r="L19" s="15"/>
      <c r="O19" s="15">
        <v>16</v>
      </c>
      <c r="P19" s="18" t="s">
        <v>112</v>
      </c>
      <c r="Q19" s="55"/>
      <c r="R19" s="16"/>
      <c r="S19" s="18" t="s">
        <v>124</v>
      </c>
      <c r="T19" s="37"/>
      <c r="Z19" t="s">
        <v>193</v>
      </c>
      <c r="AA19" s="5"/>
    </row>
    <row r="20" spans="2:27">
      <c r="B20" s="15">
        <v>17</v>
      </c>
      <c r="C20" s="60"/>
      <c r="D20" s="68"/>
      <c r="E20" s="15"/>
      <c r="F20" s="15"/>
      <c r="G20" s="15"/>
      <c r="H20" s="15"/>
      <c r="I20" s="15"/>
      <c r="J20" s="15"/>
      <c r="K20" s="15"/>
      <c r="L20" s="15"/>
      <c r="O20" s="15">
        <v>17</v>
      </c>
      <c r="P20" s="18" t="s">
        <v>116</v>
      </c>
      <c r="Q20" s="56"/>
      <c r="R20" s="16"/>
      <c r="S20" s="18" t="s">
        <v>99</v>
      </c>
      <c r="T20" s="47"/>
      <c r="Z20" t="s">
        <v>194</v>
      </c>
      <c r="AA20" s="5"/>
    </row>
    <row r="21" spans="2:27">
      <c r="B21" s="15">
        <v>18</v>
      </c>
      <c r="C21" s="60"/>
      <c r="D21" s="68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>
        <v>18</v>
      </c>
      <c r="P21" s="18" t="s">
        <v>129</v>
      </c>
      <c r="Q21" s="57"/>
      <c r="R21" s="16"/>
      <c r="S21" s="18" t="s">
        <v>101</v>
      </c>
      <c r="T21" s="48"/>
      <c r="Z21" t="s">
        <v>195</v>
      </c>
      <c r="AA21" s="5"/>
    </row>
    <row r="22" spans="2:27">
      <c r="B22" s="15">
        <v>19</v>
      </c>
      <c r="C22" s="60"/>
      <c r="D22" s="68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>
        <v>19</v>
      </c>
      <c r="P22" s="18" t="s">
        <v>118</v>
      </c>
      <c r="Q22" s="58"/>
      <c r="R22" s="16"/>
      <c r="S22" s="18" t="s">
        <v>103</v>
      </c>
      <c r="T22" s="49"/>
      <c r="Z22" t="s">
        <v>196</v>
      </c>
      <c r="AA22" s="5"/>
    </row>
    <row r="23" spans="2:27">
      <c r="B23" s="15">
        <v>20</v>
      </c>
      <c r="C23" s="60"/>
      <c r="D23" s="68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>
        <v>20</v>
      </c>
      <c r="P23" s="18" t="s">
        <v>120</v>
      </c>
      <c r="Q23" s="59"/>
      <c r="R23" s="16"/>
      <c r="S23" s="18" t="s">
        <v>105</v>
      </c>
      <c r="T23" s="27"/>
      <c r="Z23" t="s">
        <v>197</v>
      </c>
      <c r="AA23" s="5"/>
    </row>
    <row r="24" spans="2:27">
      <c r="R24" s="16"/>
      <c r="Z24" t="s">
        <v>198</v>
      </c>
      <c r="AA24" s="5"/>
    </row>
    <row r="25" spans="2:27">
      <c r="P25" s="18" t="s">
        <v>165</v>
      </c>
      <c r="Q25" s="92"/>
      <c r="R25" s="16"/>
      <c r="Z25" t="s">
        <v>199</v>
      </c>
      <c r="AA25" s="5"/>
    </row>
    <row r="26" spans="2:27">
      <c r="P26" s="18" t="s">
        <v>166</v>
      </c>
      <c r="Q26" s="93"/>
      <c r="R26" s="16"/>
      <c r="Z26" t="s">
        <v>200</v>
      </c>
      <c r="AA26" s="5"/>
    </row>
    <row r="27" spans="2:27">
      <c r="P27" s="18" t="s">
        <v>167</v>
      </c>
      <c r="Q27" s="94"/>
      <c r="R27" s="16"/>
      <c r="Z27" t="s">
        <v>201</v>
      </c>
      <c r="AA27" s="5"/>
    </row>
    <row r="28" spans="2:27">
      <c r="P28" s="18" t="s">
        <v>164</v>
      </c>
      <c r="Q28" s="95"/>
      <c r="R28" s="16"/>
      <c r="Z28" t="s">
        <v>202</v>
      </c>
      <c r="AA28" s="5"/>
    </row>
    <row r="29" spans="2:27">
      <c r="P29" s="18" t="s">
        <v>168</v>
      </c>
      <c r="Q29" s="96"/>
      <c r="Z29" t="s">
        <v>203</v>
      </c>
      <c r="AA29" s="5"/>
    </row>
    <row r="30" spans="2:27">
      <c r="P30" s="18" t="s">
        <v>169</v>
      </c>
      <c r="Q30" s="97"/>
      <c r="Z30" t="s">
        <v>204</v>
      </c>
      <c r="AA30" s="5"/>
    </row>
    <row r="31" spans="2:27">
      <c r="P31" s="18" t="s">
        <v>170</v>
      </c>
      <c r="Q31" s="98"/>
      <c r="Z31" t="s">
        <v>205</v>
      </c>
      <c r="AA31" s="5"/>
    </row>
    <row r="32" spans="2:27">
      <c r="P32" s="18" t="s">
        <v>171</v>
      </c>
      <c r="Q32" s="99"/>
      <c r="Z32" t="s">
        <v>206</v>
      </c>
      <c r="AA32" s="5"/>
    </row>
    <row r="33" spans="26:27">
      <c r="Z33" t="s">
        <v>207</v>
      </c>
      <c r="AA33" s="5"/>
    </row>
    <row r="34" spans="26:27">
      <c r="Z34" t="s">
        <v>208</v>
      </c>
      <c r="AA34" s="5"/>
    </row>
    <row r="35" spans="26:27">
      <c r="Z35" t="s">
        <v>209</v>
      </c>
      <c r="AA35" s="5"/>
    </row>
    <row r="36" spans="26:27">
      <c r="Z36" t="s">
        <v>210</v>
      </c>
      <c r="AA36" s="5"/>
    </row>
    <row r="37" spans="26:27">
      <c r="Z37" t="s">
        <v>211</v>
      </c>
      <c r="AA37" s="5"/>
    </row>
    <row r="38" spans="26:27">
      <c r="Z38" t="s">
        <v>212</v>
      </c>
      <c r="AA38" s="5"/>
    </row>
    <row r="39" spans="26:27">
      <c r="Z39" t="s">
        <v>213</v>
      </c>
      <c r="AA39" s="5"/>
    </row>
    <row r="40" spans="26:27">
      <c r="Z40" t="s">
        <v>67</v>
      </c>
      <c r="AA40" s="5"/>
    </row>
    <row r="41" spans="26:27">
      <c r="Z41" t="s">
        <v>214</v>
      </c>
      <c r="AA41" s="5"/>
    </row>
    <row r="42" spans="26:27">
      <c r="Z42" t="s">
        <v>2</v>
      </c>
      <c r="AA42" s="5"/>
    </row>
    <row r="43" spans="26:27">
      <c r="Z43" t="s">
        <v>219</v>
      </c>
      <c r="AA43" s="5"/>
    </row>
  </sheetData>
  <dataConsolidate/>
  <mergeCells count="9">
    <mergeCell ref="F15:G15"/>
    <mergeCell ref="F16:G16"/>
    <mergeCell ref="F10:G10"/>
    <mergeCell ref="F4:G4"/>
    <mergeCell ref="F5:G5"/>
    <mergeCell ref="F6:G6"/>
    <mergeCell ref="F7:G7"/>
    <mergeCell ref="F8:G8"/>
    <mergeCell ref="F9:G9"/>
  </mergeCells>
  <phoneticPr fontId="6" type="noConversion"/>
  <dataValidations disablePrompts="1" count="1">
    <dataValidation type="list" allowBlank="1" showInputMessage="1" showErrorMessage="1" sqref="H9:H10">
      <formula1>"○,X"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lorIndex">
                <anchor moveWithCells="1" sizeWithCells="1">
                  <from>
                    <xdr:col>14</xdr:col>
                    <xdr:colOff>609600</xdr:colOff>
                    <xdr:row>0</xdr:row>
                    <xdr:rowOff>57150</xdr:rowOff>
                  </from>
                  <to>
                    <xdr:col>16</xdr:col>
                    <xdr:colOff>514350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42</vt:i4>
      </vt:variant>
    </vt:vector>
  </HeadingPairs>
  <TitlesOfParts>
    <vt:vector size="45" baseType="lpstr">
      <vt:lpstr>Ver Info.</vt:lpstr>
      <vt:lpstr>Gantt</vt:lpstr>
      <vt:lpstr>Setting</vt:lpstr>
      <vt:lpstr>Actual_Duration</vt:lpstr>
      <vt:lpstr>Actual_End</vt:lpstr>
      <vt:lpstr>Actual_Start</vt:lpstr>
      <vt:lpstr>Arrow_Height</vt:lpstr>
      <vt:lpstr>BarScale</vt:lpstr>
      <vt:lpstr>Category</vt:lpstr>
      <vt:lpstr>ChartFormat</vt:lpstr>
      <vt:lpstr>ColorIndex1</vt:lpstr>
      <vt:lpstr>ColorIndex2</vt:lpstr>
      <vt:lpstr>Date</vt:lpstr>
      <vt:lpstr>EndDate</vt:lpstr>
      <vt:lpstr>Header</vt:lpstr>
      <vt:lpstr>InfoRange</vt:lpstr>
      <vt:lpstr>MileStone</vt:lpstr>
      <vt:lpstr>MileStoneBar위치</vt:lpstr>
      <vt:lpstr>Month</vt:lpstr>
      <vt:lpstr>MS_Height</vt:lpstr>
      <vt:lpstr>MS_Width</vt:lpstr>
      <vt:lpstr>Names</vt:lpstr>
      <vt:lpstr>Options</vt:lpstr>
      <vt:lpstr>OutlineLevel</vt:lpstr>
      <vt:lpstr>Owner</vt:lpstr>
      <vt:lpstr>Plan_Duration</vt:lpstr>
      <vt:lpstr>Plan_End</vt:lpstr>
      <vt:lpstr>Plan_Start</vt:lpstr>
      <vt:lpstr>ProgressBarScale</vt:lpstr>
      <vt:lpstr>ProgressBarSetting</vt:lpstr>
      <vt:lpstr>ProgressBarTextColor</vt:lpstr>
      <vt:lpstr>ProgressBarTextUnderLine</vt:lpstr>
      <vt:lpstr>ProgressRatio</vt:lpstr>
      <vt:lpstr>StartDate</vt:lpstr>
      <vt:lpstr>Status</vt:lpstr>
      <vt:lpstr>Task</vt:lpstr>
      <vt:lpstr>TaskColor</vt:lpstr>
      <vt:lpstr>TextBoxHeight</vt:lpstr>
      <vt:lpstr>TextBoxWidth</vt:lpstr>
      <vt:lpstr>TimeLIne</vt:lpstr>
      <vt:lpstr>TimeLineBarSetting</vt:lpstr>
      <vt:lpstr>Today</vt:lpstr>
      <vt:lpstr>ToTask</vt:lpstr>
      <vt:lpstr>WBS</vt:lpstr>
      <vt:lpstr>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>유치훈</cp:lastModifiedBy>
  <dcterms:created xsi:type="dcterms:W3CDTF">2018-07-14T00:37:31Z</dcterms:created>
  <dcterms:modified xsi:type="dcterms:W3CDTF">2025-11-03T23:13:02Z</dcterms:modified>
</cp:coreProperties>
</file>